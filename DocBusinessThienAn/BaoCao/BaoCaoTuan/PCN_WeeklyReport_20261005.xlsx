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This PC\OneDrive\Máy tính\"/>
    </mc:Choice>
  </mc:AlternateContent>
  <xr:revisionPtr revIDLastSave="0" documentId="13_ncr:1_{775B4738-0EE7-4479-BF2F-28C9555B1104}" xr6:coauthVersionLast="47" xr6:coauthVersionMax="47" xr10:uidLastSave="{00000000-0000-0000-0000-000000000000}"/>
  <bookViews>
    <workbookView xWindow="-120" yWindow="-120" windowWidth="29040" windowHeight="15720" tabRatio="348" xr2:uid="{00000000-000D-0000-FFFF-FFFF00000000}"/>
  </bookViews>
  <sheets>
    <sheet name="Weekly Report" sheetId="7" r:id="rId1"/>
  </sheets>
  <definedNames>
    <definedName name="_xlnm._FilterDatabase" localSheetId="0" hidden="1">'Weekly Report'!$A$7:$O$34</definedName>
    <definedName name="_xlnm.Print_Titles" localSheetId="0">'Weekly Report'!$7:$7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 l="1"/>
  <c r="A16" i="7" s="1"/>
  <c r="A24"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1" description="Connection to the 'Table1' query in the workbook." type="5" refreshedVersion="2"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<sst xmlns="http://schemas.openxmlformats.org/spreadsheetml/2006/main" count="96" uniqueCount="47">
  <si>
    <r>
      <rPr>
        <b/>
        <sz val="12"/>
        <color rgb="FF002060"/>
        <rFont val="Times New Roman"/>
        <charset val="134"/>
      </rPr>
      <t xml:space="preserve">CÔNG TY CỔ PHẦN ĐẦU TƯ CÔNG NGHỆ </t>
    </r>
    <r>
      <rPr>
        <b/>
        <sz val="12"/>
        <color rgb="FFFF0000"/>
        <rFont val="Times New Roman"/>
        <charset val="134"/>
      </rPr>
      <t>THIÊN ÂN</t>
    </r>
    <r>
      <rPr>
        <b/>
        <sz val="12"/>
        <color rgb="FF002060"/>
        <rFont val="Times New Roman"/>
        <charset val="134"/>
      </rPr>
      <t xml:space="preserve">
</t>
    </r>
  </si>
  <si>
    <r>
      <rPr>
        <b/>
        <sz val="14"/>
        <rFont val="Times New Roman"/>
        <charset val="134"/>
      </rPr>
      <t xml:space="preserve">EMPLOYEE NAME - WEEKLY REPORT </t>
    </r>
    <r>
      <rPr>
        <b/>
        <sz val="14"/>
        <color rgb="FF0000FF"/>
        <rFont val="Times New Roman"/>
        <charset val="134"/>
      </rPr>
      <t>OF THE DEPLOY DEPARTMENT</t>
    </r>
  </si>
  <si>
    <t>Thời gian: 
26.03.30 - 26.04.04</t>
  </si>
  <si>
    <t>Chú thích:</t>
  </si>
  <si>
    <r>
      <rPr>
        <i/>
        <sz val="10"/>
        <color rgb="FFFF0000"/>
        <rFont val="Times New Roman"/>
        <charset val="134"/>
      </rPr>
      <t>"Đỏ"</t>
    </r>
    <r>
      <rPr>
        <i/>
        <sz val="10"/>
        <color rgb="FF0000FF"/>
        <rFont val="Times New Roman"/>
        <charset val="134"/>
      </rPr>
      <t xml:space="preserve"> - </t>
    </r>
    <r>
      <rPr>
        <i/>
        <sz val="10"/>
        <color theme="1"/>
        <rFont val="Times New Roman"/>
        <charset val="134"/>
      </rPr>
      <t>thời gian deadline dự kiến</t>
    </r>
  </si>
  <si>
    <r>
      <rPr>
        <i/>
        <sz val="10"/>
        <color rgb="FF0000FF"/>
        <rFont val="Times New Roman"/>
        <charset val="134"/>
      </rPr>
      <t>"Xanh dương"</t>
    </r>
    <r>
      <rPr>
        <i/>
        <sz val="10"/>
        <color theme="1"/>
        <rFont val="Times New Roman"/>
        <charset val="134"/>
      </rPr>
      <t xml:space="preserve"> - Công việc đã hoàn thành</t>
    </r>
  </si>
  <si>
    <t>N.o</t>
  </si>
  <si>
    <t>Informations of project</t>
  </si>
  <si>
    <t>Project</t>
  </si>
  <si>
    <t>Task name</t>
  </si>
  <si>
    <t>Assignment</t>
  </si>
  <si>
    <t>% complete</t>
  </si>
  <si>
    <t>Assign Day</t>
  </si>
  <si>
    <t>Start Day</t>
  </si>
  <si>
    <t>Expected day</t>
  </si>
  <si>
    <t>Finish day</t>
  </si>
  <si>
    <t>Status</t>
  </si>
  <si>
    <t>Note</t>
  </si>
  <si>
    <t>Base</t>
  </si>
  <si>
    <t>Project  name</t>
  </si>
  <si>
    <t>Cầu Đồng Nai (DNC)</t>
  </si>
  <si>
    <t xml:space="preserve"> - </t>
  </si>
  <si>
    <t>Xây dựng chương trình đồng bộ dữ liệu thu phí MTC đến TCĐB:
1. Xây dựng tài liệu
2. Xây dựng phần mềm
3. Kiểm thử phần mềm</t>
  </si>
  <si>
    <t>QA, Sơn</t>
  </si>
  <si>
    <t xml:space="preserve"> -</t>
  </si>
  <si>
    <t>Section:</t>
  </si>
  <si>
    <t>Cập nhật các tính năng soát vé làn miễn phí:
1. Thay thế I/O Box cũ bằng PLC S7-1200
2. Áp dụng soát vé tháng</t>
  </si>
  <si>
    <t>Project  manager:</t>
  </si>
  <si>
    <t>Tống Thanh Thương</t>
  </si>
  <si>
    <t>Investor/ Client:</t>
  </si>
  <si>
    <t>Contract:</t>
  </si>
  <si>
    <t>Appendix of contract:</t>
  </si>
  <si>
    <t>Time of deployment:</t>
  </si>
  <si>
    <t>Deadline:</t>
  </si>
  <si>
    <t>TTP Cà Ná</t>
  </si>
  <si>
    <t>Xây dựng chương trình đồng bộ dữ liệu thu phí MTC đến TCĐB</t>
  </si>
  <si>
    <t>TTP DT 741</t>
  </si>
  <si>
    <t>Thêm 1 báo cáo thống kê  thống kê thẻ trừ dần</t>
  </si>
  <si>
    <t>Hỗ trợ kiểm tra số tiền trừ không khớp thực tế</t>
  </si>
  <si>
    <t>ITS010</t>
  </si>
  <si>
    <t>Đạt</t>
  </si>
  <si>
    <t>https://wework.base.vn/mytasks?task=9981714</t>
  </si>
  <si>
    <t>https://wework.base.vn/mytasks</t>
  </si>
  <si>
    <t>Công việc trong tuần: 
26.10.05 - 26.10.10</t>
  </si>
  <si>
    <t>Công việc trong tuần tiếp theo: 
26.10.12 - 26.10.17</t>
  </si>
  <si>
    <t>Phân hệ Chia sẻ Dữ liệu (ShareData - ESHARE):
- Xử lý các lỗi kiểm thử F16 trên hệ thống CSDL và WebAPI.
- Hoàn thiện tích hợp luồng nhật ký tiến trình cha - con (ParentId, StepNo) giữa Backend Worker và WebAPI; xây dựng endpoint GetSteps phục vụ hiển thị chi tiết tiến trình.
- Đồng bộ múi giờ hệ thống Scheduler (Hangfire / Quartz) và chuẩn hóa cấu hình dịch vụ.
Phân hệ Tường màn hình (VideoWall):
- Hoàn thành Backend Service giao tiếp thiết bị điều khiển phần cứng Hikvision (ISAPI Controller) qua NATS, chống blocking WebAPI.
- Hoàn thiện tính năng phân quyền màn hình (User/Org), cấu trúc cây Zone, quản lý Scene và bố cục ma trận hiển thị.
- Xây dựng ứng dụng WPF kết nối trực quan ma trận tường màn hình và điều khiển thiết bị.</t>
  </si>
  <si>
    <t>Phân hệ Chia sẻ Dữ liệu (ShareData):
- Tiếp tục theo dõi, giám sát độ ổn định và hiệu năng của ShareDataWorker trên môi trường Staging khi vận hành đa đối tác với tải dữ liệu lớn; kiểm soát cơ chế gửi nối đuôi và gửi khi có dữ liệu mới.
- Hỗ trợ xử lý các vấn đề phát sinh sau đợt cập nhật F16.
Phân hệ Tường màn hình (VideoWall):
- Tiếp tục tinh chỉnh các thao tác điều khiển chuyển Scene, phân chia cửa sổ và tối ưu độ trễ phản hồi trạng thái thiết bị qua NATS trên môi trường nội bộ.
- Hoàn thiện các luồng điều khiển và ứng dụng WPF kết nối thiết bị.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</si>
</sst>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charset val="134"/>
    </font>
    <font>
      <i/>
      <sz val="10"/>
      <color rgb="FF0000FF"/>
      <name val="Times New Roman"/>
      <charset val="134"/>
    </font>
    <font>
      <b/>
      <sz val="10"/>
      <name val="Times New Roman"/>
      <charset val="134"/>
    </font>
    <font>
      <sz val="10"/>
      <name val="Times New Roman"/>
      <charset val="134"/>
    </font>
    <font>
      <b/>
      <sz val="12"/>
      <name val="Times New Roman"/>
      <charset val="134"/>
    </font>
    <font>
      <b/>
      <sz val="14"/>
      <name val="Times New Roman"/>
      <charset val="134"/>
    </font>
    <font>
      <i/>
      <sz val="10"/>
      <color theme="1"/>
      <name val="Times New Roman"/>
      <charset val="134"/>
    </font>
    <font>
      <sz val="10"/>
      <color theme="1"/>
      <name val="Times New Roman"/>
      <charset val="134"/>
    </font>
    <font>
      <b/>
      <sz val="10"/>
      <color rgb="FF0000FF"/>
      <name val="Times New Roman"/>
      <charset val="134"/>
    </font>
    <font>
      <sz val="10"/>
      <color rgb="FF0000FF"/>
      <name val="Times New Roman"/>
      <charset val="134"/>
    </font>
    <font>
      <sz val="10"/>
      <color rgb="FF3A3A3A"/>
      <name val="Times New Roman"/>
      <charset val="134"/>
    </font>
    <font>
      <u/>
      <sz val="10"/>
      <color theme="10"/>
      <name val="Arial"/>
      <charset val="134"/>
    </font>
    <font>
      <sz val="11"/>
      <color rgb="FF0000FF"/>
      <name val="Times New Roman"/>
      <charset val="134"/>
    </font>
    <font>
      <sz val="11"/>
      <color theme="1"/>
      <name val="Arial"/>
      <charset val="134"/>
      <scheme val="minor"/>
    </font>
    <font>
      <sz val="10"/>
      <name val="Arial"/>
      <charset val="134"/>
    </font>
    <font>
      <i/>
      <sz val="10"/>
      <color rgb="FFFF0000"/>
      <name val="Times New Roman"/>
      <charset val="134"/>
    </font>
    <font>
      <b/>
      <sz val="12"/>
      <color rgb="FF002060"/>
      <name val="Times New Roman"/>
      <charset val="134"/>
    </font>
    <font>
      <b/>
      <sz val="12"/>
      <color rgb="FFFF0000"/>
      <name val="Times New Roman"/>
      <charset val="134"/>
    </font>
    <font>
      <b/>
      <sz val="14"/>
      <color rgb="FF0000FF"/>
      <name val="Times New Roman"/>
      <charset val="134"/>
    </font>
    <font>
      <sz val="10"/>
      <color rgb="FF000000"/>
      <name val="Arial"/>
      <charset val="134"/>
    </font>
  </fonts>
  <fills count="5">
    <fill>
      <patternFill patternType="none"/>
    </fill>
    <fill>
      <patternFill patternType="gray125"/>
    </fill>
    <fill>
      <patternFill patternType="solid">
        <fgColor theme="0"/>
        <bgColor indexed="64"/>
      </patternFill>
    </fill>
    <fill>
      <patternFill patternType="solid">
        <fgColor theme="0" tint="-0.14996795556505021"/>
        <bgColor indexed="64"/>
      </patternFill>
    </fill>
    <fill>
      <patternFill patternType="solid">
        <fgColor rgb="FFD9D9D9"/>
        <bgColor rgb="FF000000"/>
      </patternFill>
    </fill>
  </fills>
  <borders count="17">
    <border>
      <left/>
      <right/>
      <top/>
      <bottom/>
      <diagonal/>
    </border>
    <border>
      <left/>
      <right/>
      <top/>
      <bottom style="double">
        <color auto="1"/>
      </bottom>
      <diagonal/>
    </border>
    <border>
      <left/>
      <right/>
      <top style="double">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s>
  <cellStyleXfs count="7">
    <xf numFmtId="0" fontId="0" fillId="0" borderId="0"/>
    <xf numFmtId="0" fontId="11" fillId="0" borderId="0" applyNumberFormat="0" applyFill="0" applyBorder="0" applyAlignment="0" applyProtection="0"/>
    <xf numFmtId="0" fontId="13" fillId="0" borderId="0"/>
    <xf numFmtId="0" fontId="13" fillId="0" borderId="0"/>
    <xf numFmtId="0" fontId="13" fillId="0" borderId="0"/>
    <xf numFmtId="0" fontId="19" fillId="0" borderId="0"/>
    <xf numFmtId="0" fontId="14" fillId="0" borderId="0"/>
  </cellStyleXfs>
  <cellXfs count="94">
    <xf numFmtId="0" fontId="0" fillId="0" borderId="0" xfId="0"/>
    <xf numFmtId="0" fontId="1" fillId="0" borderId="0" xfId="6" applyFont="1" applyAlignment="1">
      <alignment horizontal="left" vertical="top" wrapText="1"/>
    </xf>
    <xf numFmtId="0" fontId="2" fillId="0" borderId="0" xfId="6" applyFont="1" applyAlignment="1">
      <alignment horizontal="center" vertical="center" wrapText="1"/>
    </xf>
    <xf numFmtId="0" fontId="2" fillId="0" borderId="0" xfId="6" applyFont="1" applyAlignment="1">
      <alignment horizontal="left" vertical="center" wrapText="1"/>
    </xf>
    <xf numFmtId="0" fontId="3" fillId="0" borderId="0" xfId="6" applyFont="1" applyAlignment="1">
      <alignment horizontal="left" vertical="center" wrapText="1"/>
    </xf>
    <xf numFmtId="0" fontId="3" fillId="0" borderId="0" xfId="6" applyFont="1" applyAlignment="1">
      <alignment horizontal="center" vertical="center" wrapText="1"/>
    </xf>
    <xf numFmtId="0" fontId="3" fillId="2" borderId="0" xfId="6" applyFont="1" applyFill="1" applyAlignment="1">
      <alignment horizontal="center" vertical="center" wrapText="1"/>
    </xf>
    <xf numFmtId="0" fontId="5" fillId="2" borderId="0" xfId="6" applyFont="1" applyFill="1" applyAlignment="1">
      <alignment horizontal="center" wrapText="1"/>
    </xf>
    <xf numFmtId="0" fontId="5" fillId="2" borderId="0" xfId="6" applyFont="1" applyFill="1" applyAlignment="1">
      <alignment horizontal="center" vertical="center" wrapText="1"/>
    </xf>
    <xf numFmtId="0" fontId="6" fillId="2" borderId="0" xfId="6" applyFont="1" applyFill="1" applyAlignment="1">
      <alignment horizontal="left" vertical="top" wrapText="1"/>
    </xf>
    <xf numFmtId="0" fontId="7" fillId="2" borderId="0" xfId="6" applyFont="1" applyFill="1" applyAlignment="1">
      <alignment horizontal="left" vertical="top" wrapText="1"/>
    </xf>
    <xf numFmtId="0" fontId="1" fillId="2" borderId="0" xfId="6" applyFont="1" applyFill="1" applyAlignment="1">
      <alignment horizontal="right" vertical="top" wrapText="1"/>
    </xf>
    <xf numFmtId="0" fontId="1" fillId="0" borderId="0" xfId="6" applyFont="1" applyAlignment="1">
      <alignment horizontal="center" vertical="top" wrapText="1"/>
    </xf>
    <xf numFmtId="0" fontId="2" fillId="3" borderId="3" xfId="6" applyFont="1" applyFill="1" applyBorder="1" applyAlignment="1">
      <alignment horizontal="center" vertical="center" wrapText="1"/>
    </xf>
    <xf numFmtId="0" fontId="2" fillId="3" borderId="6" xfId="6" applyFont="1" applyFill="1" applyBorder="1" applyAlignment="1">
      <alignment horizontal="center" vertical="center" wrapText="1"/>
    </xf>
    <xf numFmtId="0" fontId="2" fillId="3" borderId="3" xfId="6" applyFont="1" applyFill="1" applyBorder="1" applyAlignment="1">
      <alignment vertical="center" wrapText="1"/>
    </xf>
    <xf numFmtId="0" fontId="2" fillId="4" borderId="3" xfId="6" applyFont="1" applyFill="1" applyBorder="1" applyAlignment="1">
      <alignment horizontal="center" vertical="center" wrapText="1"/>
    </xf>
    <xf numFmtId="0" fontId="2" fillId="3" borderId="3" xfId="0" applyFont="1" applyFill="1" applyBorder="1" applyAlignment="1">
      <alignment horizontal="center" vertical="center" wrapText="1"/>
    </xf>
    <xf numFmtId="0" fontId="8" fillId="2" borderId="9" xfId="6" applyFont="1" applyFill="1" applyBorder="1" applyAlignment="1">
      <alignment horizontal="left" vertical="top" wrapText="1"/>
    </xf>
    <xf numFmtId="0" fontId="9" fillId="2" borderId="4" xfId="6" applyFont="1" applyFill="1" applyBorder="1" applyAlignment="1">
      <alignment horizontal="right" vertical="top" wrapText="1"/>
    </xf>
    <xf numFmtId="0" fontId="9" fillId="2" borderId="5" xfId="6" applyFont="1" applyFill="1" applyBorder="1" applyAlignment="1">
      <alignment horizontal="right" vertical="top" wrapText="1"/>
    </xf>
    <xf numFmtId="0" fontId="9" fillId="2" borderId="6" xfId="6" applyFont="1" applyFill="1" applyBorder="1" applyAlignment="1">
      <alignment horizontal="left" vertical="top" wrapText="1"/>
    </xf>
    <xf numFmtId="0" fontId="9" fillId="2" borderId="3" xfId="6" applyFont="1" applyFill="1" applyBorder="1" applyAlignment="1">
      <alignment vertical="top"/>
    </xf>
    <xf numFmtId="9" fontId="9" fillId="2" borderId="3" xfId="6" applyNumberFormat="1" applyFont="1" applyFill="1" applyBorder="1" applyAlignment="1">
      <alignment vertical="top"/>
    </xf>
    <xf numFmtId="14" fontId="9" fillId="2" borderId="3" xfId="6" applyNumberFormat="1" applyFont="1" applyFill="1" applyBorder="1" applyAlignment="1">
      <alignment vertical="center"/>
    </xf>
    <xf numFmtId="14" fontId="9" fillId="2" borderId="6" xfId="6" applyNumberFormat="1" applyFont="1" applyFill="1" applyBorder="1" applyAlignment="1">
      <alignment vertical="center"/>
    </xf>
    <xf numFmtId="0" fontId="9" fillId="2" borderId="6" xfId="6" applyFont="1" applyFill="1" applyBorder="1" applyAlignment="1">
      <alignment horizontal="center" vertical="top" wrapText="1"/>
    </xf>
    <xf numFmtId="0" fontId="3" fillId="2" borderId="11" xfId="6" applyFont="1" applyFill="1" applyBorder="1" applyAlignment="1">
      <alignment horizontal="right" vertical="top" wrapText="1"/>
    </xf>
    <xf numFmtId="0" fontId="3" fillId="2" borderId="0" xfId="6" applyFont="1" applyFill="1" applyAlignment="1">
      <alignment vertical="top" wrapText="1"/>
    </xf>
    <xf numFmtId="0" fontId="9" fillId="2" borderId="0" xfId="6" applyFont="1" applyFill="1" applyAlignment="1">
      <alignment horizontal="left" vertical="top" wrapText="1"/>
    </xf>
    <xf numFmtId="0" fontId="9" fillId="2" borderId="3" xfId="6" applyFont="1" applyFill="1" applyBorder="1" applyAlignment="1">
      <alignment vertical="center"/>
    </xf>
    <xf numFmtId="0" fontId="9" fillId="2" borderId="6" xfId="6" applyFont="1" applyFill="1" applyBorder="1" applyAlignment="1">
      <alignment vertical="center"/>
    </xf>
    <xf numFmtId="0" fontId="9" fillId="2" borderId="6" xfId="6" applyFont="1" applyFill="1" applyBorder="1" applyAlignment="1">
      <alignment vertical="top" wrapText="1"/>
    </xf>
    <xf numFmtId="0" fontId="9" fillId="2" borderId="4" xfId="6" applyFont="1" applyFill="1" applyBorder="1" applyAlignment="1">
      <alignment vertical="top"/>
    </xf>
    <xf numFmtId="0" fontId="9" fillId="2" borderId="5" xfId="6" applyFont="1" applyFill="1" applyBorder="1" applyAlignment="1">
      <alignment vertical="top"/>
    </xf>
    <xf numFmtId="0" fontId="9" fillId="2" borderId="6" xfId="6" applyFont="1" applyFill="1" applyBorder="1" applyAlignment="1">
      <alignment vertical="top"/>
    </xf>
    <xf numFmtId="0" fontId="3" fillId="2" borderId="13" xfId="6" applyFont="1" applyFill="1" applyBorder="1" applyAlignment="1">
      <alignment horizontal="right" vertical="top" wrapText="1"/>
    </xf>
    <xf numFmtId="0" fontId="3" fillId="2" borderId="14" xfId="6" applyFont="1" applyFill="1" applyBorder="1" applyAlignment="1">
      <alignment vertical="top" wrapText="1"/>
    </xf>
    <xf numFmtId="14" fontId="9" fillId="0" borderId="14" xfId="6" applyNumberFormat="1" applyFont="1" applyBorder="1" applyAlignment="1">
      <alignment horizontal="left" vertical="top" wrapText="1"/>
    </xf>
    <xf numFmtId="0" fontId="9" fillId="2" borderId="13" xfId="6" applyFont="1" applyFill="1" applyBorder="1" applyAlignment="1">
      <alignment vertical="top"/>
    </xf>
    <xf numFmtId="0" fontId="9" fillId="2" borderId="14" xfId="6" applyFont="1" applyFill="1" applyBorder="1" applyAlignment="1">
      <alignment vertical="top"/>
    </xf>
    <xf numFmtId="0" fontId="9" fillId="2" borderId="15" xfId="6" applyFont="1" applyFill="1" applyBorder="1" applyAlignment="1">
      <alignment vertical="top"/>
    </xf>
    <xf numFmtId="0" fontId="9" fillId="2" borderId="12" xfId="6" applyFont="1" applyFill="1" applyBorder="1" applyAlignment="1">
      <alignment vertical="top"/>
    </xf>
    <xf numFmtId="0" fontId="9" fillId="2" borderId="12" xfId="6" applyFont="1" applyFill="1" applyBorder="1" applyAlignment="1">
      <alignment vertical="center"/>
    </xf>
    <xf numFmtId="0" fontId="9" fillId="2" borderId="15" xfId="6" applyFont="1" applyFill="1" applyBorder="1" applyAlignment="1">
      <alignment vertical="center"/>
    </xf>
    <xf numFmtId="0" fontId="9" fillId="2" borderId="15" xfId="6" applyFont="1" applyFill="1" applyBorder="1" applyAlignment="1">
      <alignment horizontal="center" vertical="top" wrapText="1"/>
    </xf>
    <xf numFmtId="0" fontId="9" fillId="2" borderId="11" xfId="6" applyFont="1" applyFill="1" applyBorder="1" applyAlignment="1">
      <alignment horizontal="right" vertical="top" wrapText="1"/>
    </xf>
    <xf numFmtId="0" fontId="9" fillId="2" borderId="0" xfId="6" applyFont="1" applyFill="1" applyAlignment="1">
      <alignment horizontal="right" vertical="top" wrapText="1"/>
    </xf>
    <xf numFmtId="0" fontId="9" fillId="2" borderId="16" xfId="6" applyFont="1" applyFill="1" applyBorder="1" applyAlignment="1">
      <alignment vertical="top" wrapText="1"/>
    </xf>
    <xf numFmtId="0" fontId="9" fillId="2" borderId="10" xfId="6" applyFont="1" applyFill="1" applyBorder="1" applyAlignment="1">
      <alignment vertical="top"/>
    </xf>
    <xf numFmtId="0" fontId="9" fillId="2" borderId="10" xfId="6" applyFont="1" applyFill="1" applyBorder="1" applyAlignment="1">
      <alignment vertical="center"/>
    </xf>
    <xf numFmtId="0" fontId="9" fillId="2" borderId="16" xfId="6" applyFont="1" applyFill="1" applyBorder="1" applyAlignment="1">
      <alignment vertical="center"/>
    </xf>
    <xf numFmtId="0" fontId="9" fillId="2" borderId="16" xfId="6" applyFont="1" applyFill="1" applyBorder="1" applyAlignment="1">
      <alignment horizontal="center" vertical="top" wrapText="1"/>
    </xf>
    <xf numFmtId="0" fontId="9" fillId="2" borderId="11" xfId="6" applyFont="1" applyFill="1" applyBorder="1" applyAlignment="1">
      <alignment vertical="top"/>
    </xf>
    <xf numFmtId="0" fontId="9" fillId="2" borderId="0" xfId="6" applyFont="1" applyFill="1" applyAlignment="1">
      <alignment vertical="top"/>
    </xf>
    <xf numFmtId="0" fontId="9" fillId="2" borderId="16" xfId="6" applyFont="1" applyFill="1" applyBorder="1" applyAlignment="1">
      <alignment vertical="top"/>
    </xf>
    <xf numFmtId="14" fontId="9" fillId="0" borderId="0" xfId="6" applyNumberFormat="1" applyFont="1" applyAlignment="1">
      <alignment horizontal="left" vertical="top" wrapText="1"/>
    </xf>
    <xf numFmtId="0" fontId="2" fillId="2" borderId="7" xfId="6" applyFont="1" applyFill="1" applyBorder="1" applyAlignment="1">
      <alignment horizontal="center" vertical="center" wrapText="1"/>
    </xf>
    <xf numFmtId="0" fontId="7" fillId="2" borderId="3" xfId="6" applyFont="1" applyFill="1" applyBorder="1" applyAlignment="1">
      <alignment horizontal="center" vertical="center"/>
    </xf>
    <xf numFmtId="0" fontId="3" fillId="0" borderId="7" xfId="6" applyFont="1" applyBorder="1" applyAlignment="1">
      <alignment horizontal="center" vertical="center" wrapText="1"/>
    </xf>
    <xf numFmtId="0" fontId="3" fillId="0" borderId="3" xfId="0" applyFont="1" applyBorder="1" applyAlignment="1">
      <alignment horizontal="left" vertical="top" wrapText="1"/>
    </xf>
    <xf numFmtId="9" fontId="7" fillId="2" borderId="3" xfId="6" applyNumberFormat="1" applyFont="1" applyFill="1" applyBorder="1" applyAlignment="1">
      <alignment horizontal="center" vertical="center"/>
    </xf>
    <xf numFmtId="14" fontId="7" fillId="2" borderId="3" xfId="6" applyNumberFormat="1" applyFont="1" applyFill="1" applyBorder="1" applyAlignment="1">
      <alignment horizontal="right" vertical="center"/>
    </xf>
    <xf numFmtId="14" fontId="7" fillId="2" borderId="3" xfId="6" applyNumberFormat="1" applyFont="1" applyFill="1" applyBorder="1" applyAlignment="1">
      <alignment horizontal="center" vertical="center" wrapText="1"/>
    </xf>
    <xf numFmtId="0" fontId="10" fillId="0" borderId="3" xfId="0" applyFont="1" applyBorder="1" applyAlignment="1">
      <alignment horizontal="left" vertical="top" wrapText="1"/>
    </xf>
    <xf numFmtId="0" fontId="11" fillId="0" borderId="3" xfId="1" applyBorder="1" applyAlignment="1">
      <alignment horizontal="center" vertical="center" wrapText="1"/>
    </xf>
    <xf numFmtId="0" fontId="7" fillId="2" borderId="7" xfId="6" applyFont="1" applyFill="1" applyBorder="1" applyAlignment="1">
      <alignment horizontal="center" vertical="center"/>
    </xf>
    <xf numFmtId="0" fontId="7" fillId="2" borderId="12" xfId="6" applyFont="1" applyFill="1" applyBorder="1" applyAlignment="1">
      <alignment horizontal="center" vertical="center"/>
    </xf>
    <xf numFmtId="0" fontId="12" fillId="0" borderId="0" xfId="6" applyFont="1" applyAlignment="1">
      <alignment horizontal="center" vertical="center" wrapText="1"/>
    </xf>
    <xf numFmtId="0" fontId="3" fillId="2" borderId="0" xfId="6" applyFont="1" applyFill="1" applyAlignment="1">
      <alignment horizontal="center" vertical="center" wrapText="1"/>
    </xf>
    <xf numFmtId="0" fontId="4" fillId="2" borderId="1" xfId="6" applyFont="1" applyFill="1" applyBorder="1" applyAlignment="1">
      <alignment horizontal="center" vertical="top" wrapText="1"/>
    </xf>
    <xf numFmtId="0" fontId="5" fillId="2" borderId="2" xfId="6" applyFont="1" applyFill="1" applyBorder="1" applyAlignment="1">
      <alignment horizontal="center" wrapText="1"/>
    </xf>
    <xf numFmtId="0" fontId="1" fillId="2" borderId="0" xfId="6" applyFont="1" applyFill="1" applyAlignment="1">
      <alignment horizontal="right" vertical="top" wrapText="1"/>
    </xf>
    <xf numFmtId="0" fontId="2" fillId="3" borderId="4" xfId="6" applyFont="1" applyFill="1" applyBorder="1" applyAlignment="1">
      <alignment horizontal="center" vertical="center" wrapText="1"/>
    </xf>
    <xf numFmtId="0" fontId="2" fillId="3" borderId="5" xfId="6" applyFont="1" applyFill="1" applyBorder="1" applyAlignment="1">
      <alignment horizontal="center" vertical="center" wrapText="1"/>
    </xf>
    <xf numFmtId="0" fontId="2" fillId="3" borderId="6" xfId="6" applyFont="1" applyFill="1" applyBorder="1" applyAlignment="1">
      <alignment horizontal="center" vertical="center" wrapText="1"/>
    </xf>
    <xf numFmtId="0" fontId="2" fillId="2" borderId="8" xfId="6" applyFont="1" applyFill="1" applyBorder="1" applyAlignment="1">
      <alignment horizontal="left" vertical="top" wrapText="1"/>
    </xf>
    <xf numFmtId="0" fontId="2" fillId="2" borderId="9" xfId="6" applyFont="1" applyFill="1" applyBorder="1" applyAlignment="1">
      <alignment horizontal="left" vertical="top" wrapText="1"/>
    </xf>
    <xf numFmtId="0" fontId="2" fillId="2" borderId="11" xfId="6" applyFont="1" applyFill="1" applyBorder="1" applyAlignment="1">
      <alignment horizontal="center" vertical="center" wrapText="1"/>
    </xf>
    <xf numFmtId="0" fontId="2" fillId="2" borderId="0" xfId="6" applyFont="1" applyFill="1" applyAlignment="1">
      <alignment horizontal="center" vertical="center" wrapText="1"/>
    </xf>
    <xf numFmtId="0" fontId="2" fillId="2" borderId="16" xfId="6" applyFont="1" applyFill="1" applyBorder="1" applyAlignment="1">
      <alignment horizontal="center" vertical="center" wrapText="1"/>
    </xf>
    <xf numFmtId="0" fontId="2" fillId="2" borderId="7" xfId="6" applyFont="1" applyFill="1" applyBorder="1" applyAlignment="1">
      <alignment horizontal="center" vertical="top" wrapText="1"/>
    </xf>
    <xf numFmtId="0" fontId="2" fillId="2" borderId="10" xfId="6" applyFont="1" applyFill="1" applyBorder="1" applyAlignment="1">
      <alignment horizontal="center" vertical="top" wrapText="1"/>
    </xf>
    <xf numFmtId="0" fontId="2" fillId="2" borderId="12" xfId="6" applyFont="1" applyFill="1" applyBorder="1" applyAlignment="1">
      <alignment horizontal="center" vertical="top" wrapText="1"/>
    </xf>
    <xf numFmtId="0" fontId="2" fillId="2" borderId="3" xfId="6" applyFont="1" applyFill="1" applyBorder="1" applyAlignment="1">
      <alignment horizontal="center" vertical="center" wrapText="1"/>
    </xf>
    <xf numFmtId="0" fontId="7" fillId="2" borderId="7" xfId="6" applyFont="1" applyFill="1" applyBorder="1" applyAlignment="1">
      <alignment horizontal="center" vertical="center"/>
    </xf>
    <xf numFmtId="0" fontId="7" fillId="2" borderId="12" xfId="6" applyFont="1" applyFill="1" applyBorder="1" applyAlignment="1">
      <alignment horizontal="center" vertical="center"/>
    </xf>
    <xf numFmtId="0" fontId="3" fillId="0" borderId="3" xfId="6" applyFont="1" applyBorder="1" applyAlignment="1">
      <alignment horizontal="center" vertical="center" wrapText="1"/>
    </xf>
    <xf numFmtId="0" fontId="3" fillId="0" borderId="7" xfId="0" applyFont="1" applyBorder="1" applyAlignment="1">
      <alignment horizontal="left" vertical="top" wrapText="1"/>
    </xf>
    <xf numFmtId="0" fontId="3" fillId="0" borderId="12" xfId="0" applyFont="1" applyBorder="1" applyAlignment="1">
      <alignment horizontal="left" vertical="top" wrapText="1"/>
    </xf>
    <xf numFmtId="9" fontId="7" fillId="2" borderId="7" xfId="6" applyNumberFormat="1" applyFont="1" applyFill="1" applyBorder="1" applyAlignment="1">
      <alignment horizontal="center" vertical="center"/>
    </xf>
    <xf numFmtId="9" fontId="7" fillId="2" borderId="12" xfId="6" applyNumberFormat="1" applyFont="1" applyFill="1" applyBorder="1" applyAlignment="1">
      <alignment horizontal="center" vertical="center"/>
    </xf>
    <xf numFmtId="14" fontId="7" fillId="2" borderId="7" xfId="6" applyNumberFormat="1" applyFont="1" applyFill="1" applyBorder="1" applyAlignment="1">
      <alignment horizontal="center" vertical="center"/>
    </xf>
    <xf numFmtId="14" fontId="7" fillId="2" borderId="12" xfId="6" applyNumberFormat="1" applyFont="1" applyFill="1" applyBorder="1" applyAlignment="1">
      <alignment horizontal="center" vertical="center"/>
    </xf>
  </cellXfs>
  <cellStyles count="7">
    <cellStyle name="Hyperlink" xfId="1" builtinId="8"/>
    <cellStyle name="Normal" xfId="0" builtinId="0"/>
    <cellStyle name="Normal 2" xfId="2" xr:uid="{00000000-0005-0000-0000-000031000000}"/>
    <cellStyle name="Normal 2 2" xfId="3" xr:uid="{00000000-0005-0000-0000-000032000000}"/>
    <cellStyle name="Normal 2 3" xfId="4" xr:uid="{00000000-0005-0000-0000-000033000000}"/>
    <cellStyle name="Normal 3" xfId="5" xr:uid="{00000000-0005-0000-0000-000034000000}"/>
    <cellStyle name="Normal 4" xfId="6" xr:uid="{00000000-0005-0000-0000-000035000000}"/>
  </cellStyles>
  <dxfs count="0"/>
  <tableStyles count="0" defaultTableStyle="TableStyleMedium2" defaultPivotStyle="PivotStyleLight16"/>
  <colors>
    <mruColors>
      <color rgb="FF0066FF"/>
      <color rgb="FF0033CC"/>
      <color rgb="FFCCECFF"/>
      <color rgb="FF3399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104776</xdr:colOff>
      <xdr:row>0</xdr:row>
      <xdr:rowOff>9526</xdr:rowOff>
    </xdr:from>
    <xdr:to>
      <xdr:col>2</xdr:col>
      <xdr:colOff>910590</xdr:colOff>
      <xdr:row>3</xdr:row>
      <xdr:rowOff>116458</xdr:rowOff>
    </xdr:to>
    <xdr:pic>
      <xdr:nvPicPr>
        <xdr:cNvPr id="2" name="Picture 2" descr="logo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817" t="6360" r="7387" b="4601"/>
        <a:stretch>
          <a:fillRect/>
        </a:stretch>
      </xdr:blipFill>
      <xdr:spPr>
        <a:xfrm>
          <a:off x="104775" y="9525"/>
          <a:ext cx="1286510" cy="963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ework.base.vn/mytasks?task=9788161" TargetMode="External"/><Relationship Id="rId1" Type="http://schemas.openxmlformats.org/officeDocument/2006/relationships/hyperlink" Target="https://wework.base.vn/mytasks?task=99817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0"/>
  <sheetViews>
    <sheetView tabSelected="1" zoomScale="99" zoomScaleNormal="99" workbookViewId="0">
      <pane xSplit="13" ySplit="7" topLeftCell="N32" activePane="bottomRight" state="frozen"/>
      <selection pane="topRight"/>
      <selection pane="bottomLeft"/>
      <selection pane="bottomRight" activeCell="L33" sqref="L33:L34"/>
    </sheetView>
  </sheetViews>
  <sheetFormatPr defaultColWidth="9.140625" defaultRowHeight="24.95" customHeight="1"/>
  <cols>
    <col min="1" max="1" width="4.140625" style="3" customWidth="1"/>
    <col min="2" max="2" width="3.140625" style="4" customWidth="1"/>
    <col min="3" max="3" width="16.7109375" style="4" customWidth="1"/>
    <col min="4" max="4" width="1.7109375" style="4" customWidth="1"/>
    <col min="5" max="5" width="4.7109375" style="4" customWidth="1"/>
    <col min="6" max="6" width="15.5703125" style="4" customWidth="1"/>
    <col min="7" max="7" width="48.85546875" style="4" customWidth="1"/>
    <col min="8" max="8" width="12.28515625" style="4" customWidth="1"/>
    <col min="9" max="9" width="18.5703125" style="4" customWidth="1"/>
    <col min="10" max="10" width="16.28515625" style="4" customWidth="1"/>
    <col min="11" max="11" width="17.42578125" style="4" customWidth="1"/>
    <col min="12" max="12" width="18.85546875" style="4" customWidth="1"/>
    <col min="13" max="13" width="19.7109375" style="4" customWidth="1"/>
    <col min="14" max="14" width="19.42578125" style="4" customWidth="1"/>
    <col min="15" max="15" width="52" style="4" customWidth="1"/>
    <col min="16" max="16" width="42.85546875" style="5" customWidth="1"/>
    <col min="17" max="16384" width="9.140625" style="4"/>
  </cols>
  <sheetData>
    <row r="1" spans="1:16" ht="20.25" customHeight="1">
      <c r="A1" s="69"/>
      <c r="B1" s="69"/>
      <c r="C1" s="69"/>
      <c r="D1" s="70" t="s">
        <v>0</v>
      </c>
      <c r="E1" s="70"/>
      <c r="F1" s="70"/>
      <c r="G1" s="70"/>
      <c r="H1" s="70"/>
      <c r="I1" s="70"/>
      <c r="J1" s="70"/>
      <c r="K1" s="70"/>
      <c r="L1" s="70"/>
      <c r="M1" s="70"/>
      <c r="N1" s="70"/>
      <c r="O1" s="70"/>
    </row>
    <row r="2" spans="1:16" ht="18" customHeight="1">
      <c r="A2" s="6"/>
      <c r="B2" s="6"/>
      <c r="C2" s="6"/>
      <c r="D2" s="71" t="s">
        <v>1</v>
      </c>
      <c r="E2" s="71"/>
      <c r="F2" s="71"/>
      <c r="G2" s="71"/>
      <c r="H2" s="71"/>
      <c r="I2" s="71"/>
      <c r="J2" s="71"/>
      <c r="K2" s="71"/>
      <c r="L2" s="71"/>
      <c r="M2" s="71"/>
      <c r="N2" s="71"/>
      <c r="O2" s="71"/>
    </row>
    <row r="3" spans="1:16" ht="29.25" customHeight="1">
      <c r="A3" s="6"/>
      <c r="B3" s="6"/>
      <c r="C3" s="6"/>
      <c r="D3" s="7"/>
      <c r="E3" s="7"/>
      <c r="F3" s="7"/>
      <c r="G3" s="7"/>
      <c r="H3" s="7"/>
      <c r="I3" s="7"/>
      <c r="J3" s="7"/>
      <c r="K3" s="7"/>
      <c r="L3" s="7"/>
      <c r="M3" s="8"/>
      <c r="N3" s="8"/>
      <c r="O3" s="9" t="s">
        <v>2</v>
      </c>
    </row>
    <row r="4" spans="1:16" ht="18" customHeight="1">
      <c r="A4" s="6"/>
      <c r="B4" s="6"/>
      <c r="C4" s="6"/>
      <c r="D4" s="7"/>
      <c r="E4" s="7"/>
      <c r="F4" s="7"/>
      <c r="G4" s="7"/>
      <c r="I4" s="7"/>
      <c r="J4" s="7"/>
      <c r="K4" s="7"/>
      <c r="L4" s="7"/>
      <c r="M4" s="8"/>
      <c r="N4" s="8"/>
      <c r="O4" s="10" t="s">
        <v>3</v>
      </c>
    </row>
    <row r="5" spans="1:16" ht="18.75" customHeight="1">
      <c r="A5" s="6"/>
      <c r="B5" s="6"/>
      <c r="C5" s="6"/>
      <c r="D5" s="7"/>
      <c r="E5" s="7"/>
      <c r="F5" s="7"/>
      <c r="G5" s="7"/>
      <c r="H5" s="7"/>
      <c r="I5" s="7"/>
      <c r="J5" s="7"/>
      <c r="K5" s="7"/>
      <c r="L5" s="7"/>
      <c r="M5" s="8"/>
      <c r="N5" s="8"/>
      <c r="O5" s="1" t="s">
        <v>4</v>
      </c>
    </row>
    <row r="6" spans="1:16" s="1" customFormat="1" ht="21" customHeight="1">
      <c r="A6" s="72"/>
      <c r="B6" s="72"/>
      <c r="C6" s="72"/>
      <c r="D6" s="72"/>
      <c r="E6" s="72"/>
      <c r="F6" s="72"/>
      <c r="G6" s="72"/>
      <c r="H6" s="72"/>
      <c r="I6" s="72"/>
      <c r="J6" s="72"/>
      <c r="K6" s="72"/>
      <c r="L6" s="72"/>
      <c r="M6" s="72"/>
      <c r="N6" s="11"/>
      <c r="O6" s="1" t="s">
        <v>5</v>
      </c>
      <c r="P6" s="12"/>
    </row>
    <row r="7" spans="1:16" s="2" customFormat="1" ht="24.95" customHeight="1">
      <c r="A7" s="13" t="s">
        <v>6</v>
      </c>
      <c r="B7" s="73" t="s">
        <v>7</v>
      </c>
      <c r="C7" s="74"/>
      <c r="D7" s="75"/>
      <c r="E7" s="15"/>
      <c r="F7" s="15" t="s">
        <v>8</v>
      </c>
      <c r="G7" s="15" t="s">
        <v>9</v>
      </c>
      <c r="H7" s="13" t="s">
        <v>10</v>
      </c>
      <c r="I7" s="13" t="s">
        <v>11</v>
      </c>
      <c r="J7" s="13" t="s">
        <v>12</v>
      </c>
      <c r="K7" s="13" t="s">
        <v>13</v>
      </c>
      <c r="L7" s="16" t="s">
        <v>14</v>
      </c>
      <c r="M7" s="13" t="s">
        <v>15</v>
      </c>
      <c r="N7" s="17" t="s">
        <v>16</v>
      </c>
      <c r="O7" s="14" t="s">
        <v>17</v>
      </c>
      <c r="P7" s="13" t="s">
        <v>18</v>
      </c>
    </row>
    <row r="8" spans="1:16" ht="57.75" hidden="1" customHeight="1">
      <c r="A8" s="81" t="e">
        <f>1+#REF!</f>
        <v>#REF!</v>
      </c>
      <c r="B8" s="76" t="s">
        <v>19</v>
      </c>
      <c r="C8" s="77"/>
      <c r="D8" s="18" t="s">
        <v>20</v>
      </c>
      <c r="E8" s="19" t="s">
        <v>21</v>
      </c>
      <c r="F8" s="20"/>
      <c r="G8" s="21" t="s">
        <v>22</v>
      </c>
      <c r="H8" s="22" t="s">
        <v>23</v>
      </c>
      <c r="I8" s="23">
        <v>0.3</v>
      </c>
      <c r="J8" s="23"/>
      <c r="K8" s="23"/>
      <c r="L8" s="22"/>
      <c r="M8" s="24">
        <v>43585</v>
      </c>
      <c r="N8" s="25"/>
      <c r="O8" s="26"/>
      <c r="P8" s="2"/>
    </row>
    <row r="9" spans="1:16" ht="44.25" hidden="1" customHeight="1">
      <c r="A9" s="82"/>
      <c r="B9" s="27" t="s">
        <v>24</v>
      </c>
      <c r="C9" s="28" t="s">
        <v>25</v>
      </c>
      <c r="D9" s="29"/>
      <c r="E9" s="19" t="s">
        <v>21</v>
      </c>
      <c r="F9" s="20"/>
      <c r="G9" s="21" t="s">
        <v>26</v>
      </c>
      <c r="H9" s="22"/>
      <c r="I9" s="22"/>
      <c r="J9" s="22"/>
      <c r="K9" s="22"/>
      <c r="L9" s="22"/>
      <c r="M9" s="30"/>
      <c r="N9" s="31"/>
      <c r="O9" s="26"/>
      <c r="P9" s="2"/>
    </row>
    <row r="10" spans="1:16" ht="30.75" hidden="1" customHeight="1">
      <c r="A10" s="82"/>
      <c r="B10" s="27" t="s">
        <v>24</v>
      </c>
      <c r="C10" s="28" t="s">
        <v>27</v>
      </c>
      <c r="D10" s="29" t="s">
        <v>28</v>
      </c>
      <c r="E10" s="19" t="s">
        <v>21</v>
      </c>
      <c r="F10" s="20"/>
      <c r="G10" s="32"/>
      <c r="H10" s="22"/>
      <c r="I10" s="22"/>
      <c r="J10" s="22"/>
      <c r="K10" s="22"/>
      <c r="L10" s="22"/>
      <c r="M10" s="30"/>
      <c r="N10" s="31"/>
      <c r="O10" s="26"/>
      <c r="P10" s="2"/>
    </row>
    <row r="11" spans="1:16" ht="18" hidden="1" customHeight="1">
      <c r="A11" s="82"/>
      <c r="B11" s="27" t="s">
        <v>24</v>
      </c>
      <c r="C11" s="28" t="s">
        <v>29</v>
      </c>
      <c r="D11" s="29"/>
      <c r="E11" s="33"/>
      <c r="F11" s="34"/>
      <c r="G11" s="35"/>
      <c r="H11" s="22"/>
      <c r="I11" s="22"/>
      <c r="J11" s="22"/>
      <c r="K11" s="22"/>
      <c r="L11" s="22"/>
      <c r="M11" s="30"/>
      <c r="N11" s="31"/>
      <c r="O11" s="26"/>
      <c r="P11" s="2"/>
    </row>
    <row r="12" spans="1:16" ht="18" hidden="1" customHeight="1">
      <c r="A12" s="82"/>
      <c r="B12" s="27" t="s">
        <v>24</v>
      </c>
      <c r="C12" s="28" t="s">
        <v>30</v>
      </c>
      <c r="D12" s="29"/>
      <c r="E12" s="33"/>
      <c r="F12" s="34"/>
      <c r="G12" s="35"/>
      <c r="H12" s="22"/>
      <c r="I12" s="22"/>
      <c r="J12" s="22"/>
      <c r="K12" s="22"/>
      <c r="L12" s="22"/>
      <c r="M12" s="30"/>
      <c r="N12" s="31"/>
      <c r="O12" s="26"/>
      <c r="P12" s="2"/>
    </row>
    <row r="13" spans="1:16" ht="18" hidden="1" customHeight="1">
      <c r="A13" s="82"/>
      <c r="B13" s="27" t="s">
        <v>24</v>
      </c>
      <c r="C13" s="28" t="s">
        <v>31</v>
      </c>
      <c r="D13" s="29"/>
      <c r="E13" s="33"/>
      <c r="F13" s="34"/>
      <c r="G13" s="35"/>
      <c r="H13" s="22"/>
      <c r="I13" s="22"/>
      <c r="J13" s="22"/>
      <c r="K13" s="22"/>
      <c r="L13" s="22"/>
      <c r="M13" s="30"/>
      <c r="N13" s="31"/>
      <c r="O13" s="26"/>
      <c r="P13" s="2"/>
    </row>
    <row r="14" spans="1:16" ht="18" hidden="1" customHeight="1">
      <c r="A14" s="82"/>
      <c r="B14" s="27" t="s">
        <v>24</v>
      </c>
      <c r="C14" s="28" t="s">
        <v>32</v>
      </c>
      <c r="D14" s="29"/>
      <c r="E14" s="33"/>
      <c r="F14" s="34"/>
      <c r="G14" s="35"/>
      <c r="H14" s="22"/>
      <c r="I14" s="22"/>
      <c r="J14" s="22"/>
      <c r="K14" s="22"/>
      <c r="L14" s="22"/>
      <c r="M14" s="30"/>
      <c r="N14" s="31"/>
      <c r="O14" s="26"/>
      <c r="P14" s="2"/>
    </row>
    <row r="15" spans="1:16" ht="18" hidden="1" customHeight="1">
      <c r="A15" s="83"/>
      <c r="B15" s="36" t="s">
        <v>24</v>
      </c>
      <c r="C15" s="37" t="s">
        <v>33</v>
      </c>
      <c r="D15" s="38"/>
      <c r="E15" s="39"/>
      <c r="F15" s="40"/>
      <c r="G15" s="41"/>
      <c r="H15" s="42"/>
      <c r="I15" s="42"/>
      <c r="J15" s="42"/>
      <c r="K15" s="42"/>
      <c r="L15" s="42"/>
      <c r="M15" s="43"/>
      <c r="N15" s="44"/>
      <c r="O15" s="45"/>
      <c r="P15" s="2"/>
    </row>
    <row r="16" spans="1:16" ht="13.15" hidden="1" customHeight="1">
      <c r="A16" s="81" t="e">
        <f t="shared" ref="A16" si="0">1+A8</f>
        <v>#REF!</v>
      </c>
      <c r="B16" s="76" t="s">
        <v>19</v>
      </c>
      <c r="C16" s="77"/>
      <c r="D16" s="18" t="s">
        <v>34</v>
      </c>
      <c r="E16" s="19" t="s">
        <v>21</v>
      </c>
      <c r="F16" s="20"/>
      <c r="G16" s="21" t="s">
        <v>35</v>
      </c>
      <c r="H16" s="22" t="s">
        <v>23</v>
      </c>
      <c r="I16" s="22"/>
      <c r="J16" s="22"/>
      <c r="K16" s="22"/>
      <c r="L16" s="22"/>
      <c r="M16" s="30"/>
      <c r="N16" s="31"/>
      <c r="O16" s="26"/>
      <c r="P16" s="2"/>
    </row>
    <row r="17" spans="1:16" ht="24.95" hidden="1" customHeight="1">
      <c r="A17" s="82"/>
      <c r="B17" s="27" t="s">
        <v>24</v>
      </c>
      <c r="C17" s="28" t="s">
        <v>25</v>
      </c>
      <c r="D17" s="29"/>
      <c r="E17" s="19" t="s">
        <v>21</v>
      </c>
      <c r="F17" s="20"/>
      <c r="G17" s="21"/>
      <c r="H17" s="22"/>
      <c r="I17" s="22"/>
      <c r="J17" s="22"/>
      <c r="K17" s="22"/>
      <c r="L17" s="22"/>
      <c r="M17" s="30"/>
      <c r="N17" s="31"/>
      <c r="O17" s="26"/>
      <c r="P17" s="2"/>
    </row>
    <row r="18" spans="1:16" ht="24.95" hidden="1" customHeight="1">
      <c r="A18" s="82"/>
      <c r="B18" s="27" t="s">
        <v>24</v>
      </c>
      <c r="C18" s="28" t="s">
        <v>27</v>
      </c>
      <c r="D18" s="29" t="s">
        <v>28</v>
      </c>
      <c r="E18" s="19" t="s">
        <v>21</v>
      </c>
      <c r="F18" s="20"/>
      <c r="G18" s="32"/>
      <c r="H18" s="22"/>
      <c r="I18" s="22"/>
      <c r="J18" s="22"/>
      <c r="K18" s="22"/>
      <c r="L18" s="22"/>
      <c r="M18" s="30"/>
      <c r="N18" s="31"/>
      <c r="O18" s="26"/>
      <c r="P18" s="2"/>
    </row>
    <row r="19" spans="1:16" ht="24.95" hidden="1" customHeight="1">
      <c r="A19" s="82"/>
      <c r="B19" s="27" t="s">
        <v>24</v>
      </c>
      <c r="C19" s="28" t="s">
        <v>29</v>
      </c>
      <c r="D19" s="29"/>
      <c r="E19" s="33"/>
      <c r="F19" s="34"/>
      <c r="G19" s="35"/>
      <c r="H19" s="22"/>
      <c r="I19" s="22"/>
      <c r="J19" s="22"/>
      <c r="K19" s="22"/>
      <c r="L19" s="22"/>
      <c r="M19" s="30"/>
      <c r="N19" s="31"/>
      <c r="O19" s="26"/>
      <c r="P19" s="2"/>
    </row>
    <row r="20" spans="1:16" ht="24.95" hidden="1" customHeight="1">
      <c r="A20" s="82"/>
      <c r="B20" s="27" t="s">
        <v>24</v>
      </c>
      <c r="C20" s="28" t="s">
        <v>30</v>
      </c>
      <c r="D20" s="29"/>
      <c r="E20" s="33"/>
      <c r="F20" s="34"/>
      <c r="G20" s="35"/>
      <c r="H20" s="22"/>
      <c r="I20" s="22"/>
      <c r="J20" s="22"/>
      <c r="K20" s="22"/>
      <c r="L20" s="22"/>
      <c r="M20" s="30"/>
      <c r="N20" s="31"/>
      <c r="O20" s="26"/>
      <c r="P20" s="2"/>
    </row>
    <row r="21" spans="1:16" ht="24.95" hidden="1" customHeight="1">
      <c r="A21" s="82"/>
      <c r="B21" s="27" t="s">
        <v>24</v>
      </c>
      <c r="C21" s="28" t="s">
        <v>31</v>
      </c>
      <c r="D21" s="29"/>
      <c r="E21" s="33"/>
      <c r="F21" s="34"/>
      <c r="G21" s="35"/>
      <c r="H21" s="22"/>
      <c r="I21" s="22"/>
      <c r="J21" s="22"/>
      <c r="K21" s="22"/>
      <c r="L21" s="22"/>
      <c r="M21" s="30"/>
      <c r="N21" s="31"/>
      <c r="O21" s="26"/>
      <c r="P21" s="2"/>
    </row>
    <row r="22" spans="1:16" ht="24.95" hidden="1" customHeight="1">
      <c r="A22" s="82"/>
      <c r="B22" s="27" t="s">
        <v>24</v>
      </c>
      <c r="C22" s="28" t="s">
        <v>32</v>
      </c>
      <c r="D22" s="29"/>
      <c r="E22" s="33"/>
      <c r="F22" s="34"/>
      <c r="G22" s="35"/>
      <c r="H22" s="22"/>
      <c r="I22" s="22"/>
      <c r="J22" s="22"/>
      <c r="K22" s="22"/>
      <c r="L22" s="22"/>
      <c r="M22" s="30"/>
      <c r="N22" s="31"/>
      <c r="O22" s="26"/>
      <c r="P22" s="2"/>
    </row>
    <row r="23" spans="1:16" ht="24.95" hidden="1" customHeight="1">
      <c r="A23" s="83"/>
      <c r="B23" s="36" t="s">
        <v>24</v>
      </c>
      <c r="C23" s="37" t="s">
        <v>33</v>
      </c>
      <c r="D23" s="38"/>
      <c r="E23" s="39"/>
      <c r="F23" s="40"/>
      <c r="G23" s="41"/>
      <c r="H23" s="42"/>
      <c r="I23" s="42"/>
      <c r="J23" s="42"/>
      <c r="K23" s="42"/>
      <c r="L23" s="42"/>
      <c r="M23" s="43"/>
      <c r="N23" s="44"/>
      <c r="O23" s="45"/>
      <c r="P23" s="2"/>
    </row>
    <row r="24" spans="1:16" ht="24.95" hidden="1" customHeight="1">
      <c r="A24" s="81" t="e">
        <f t="shared" ref="A24" si="1">1+A16</f>
        <v>#REF!</v>
      </c>
      <c r="B24" s="76" t="s">
        <v>19</v>
      </c>
      <c r="C24" s="77"/>
      <c r="D24" s="18" t="s">
        <v>36</v>
      </c>
      <c r="E24" s="19" t="s">
        <v>21</v>
      </c>
      <c r="F24" s="20"/>
      <c r="G24" s="21" t="s">
        <v>37</v>
      </c>
      <c r="H24" s="22"/>
      <c r="I24" s="23">
        <v>0.05</v>
      </c>
      <c r="J24" s="23"/>
      <c r="K24" s="23"/>
      <c r="L24" s="22"/>
      <c r="M24" s="30"/>
      <c r="N24" s="31"/>
      <c r="O24" s="26"/>
      <c r="P24" s="2"/>
    </row>
    <row r="25" spans="1:16" ht="24.95" hidden="1" customHeight="1">
      <c r="A25" s="82"/>
      <c r="B25" s="27" t="s">
        <v>24</v>
      </c>
      <c r="C25" s="28" t="s">
        <v>25</v>
      </c>
      <c r="D25" s="29"/>
      <c r="E25" s="19" t="s">
        <v>21</v>
      </c>
      <c r="F25" s="20"/>
      <c r="G25" s="21" t="s">
        <v>38</v>
      </c>
      <c r="H25" s="22"/>
      <c r="I25" s="23">
        <v>0.05</v>
      </c>
      <c r="J25" s="23"/>
      <c r="K25" s="23"/>
      <c r="L25" s="22"/>
      <c r="M25" s="30"/>
      <c r="N25" s="31"/>
      <c r="O25" s="26"/>
      <c r="P25" s="2"/>
    </row>
    <row r="26" spans="1:16" ht="24.95" hidden="1" customHeight="1">
      <c r="A26" s="82"/>
      <c r="B26" s="27" t="s">
        <v>24</v>
      </c>
      <c r="C26" s="28" t="s">
        <v>27</v>
      </c>
      <c r="D26" s="29" t="s">
        <v>28</v>
      </c>
      <c r="E26" s="46" t="s">
        <v>21</v>
      </c>
      <c r="F26" s="47"/>
      <c r="G26" s="48"/>
      <c r="H26" s="49"/>
      <c r="I26" s="49"/>
      <c r="J26" s="49"/>
      <c r="K26" s="49"/>
      <c r="L26" s="49"/>
      <c r="M26" s="50"/>
      <c r="N26" s="51"/>
      <c r="O26" s="52"/>
      <c r="P26" s="2"/>
    </row>
    <row r="27" spans="1:16" ht="24.95" hidden="1" customHeight="1">
      <c r="A27" s="82"/>
      <c r="B27" s="27" t="s">
        <v>24</v>
      </c>
      <c r="C27" s="28" t="s">
        <v>29</v>
      </c>
      <c r="D27" s="29"/>
      <c r="E27" s="53"/>
      <c r="F27" s="54"/>
      <c r="G27" s="55"/>
      <c r="H27" s="49"/>
      <c r="I27" s="49"/>
      <c r="J27" s="49"/>
      <c r="K27" s="49"/>
      <c r="L27" s="49"/>
      <c r="M27" s="50"/>
      <c r="N27" s="51"/>
      <c r="O27" s="52"/>
      <c r="P27" s="2"/>
    </row>
    <row r="28" spans="1:16" ht="24.95" hidden="1" customHeight="1">
      <c r="A28" s="82"/>
      <c r="B28" s="27" t="s">
        <v>24</v>
      </c>
      <c r="C28" s="28" t="s">
        <v>30</v>
      </c>
      <c r="D28" s="29"/>
      <c r="E28" s="53"/>
      <c r="F28" s="54"/>
      <c r="G28" s="55"/>
      <c r="H28" s="49"/>
      <c r="I28" s="49"/>
      <c r="J28" s="49"/>
      <c r="K28" s="49"/>
      <c r="L28" s="49"/>
      <c r="M28" s="50"/>
      <c r="N28" s="51"/>
      <c r="O28" s="52"/>
      <c r="P28" s="2"/>
    </row>
    <row r="29" spans="1:16" ht="24.95" hidden="1" customHeight="1">
      <c r="A29" s="82"/>
      <c r="B29" s="27" t="s">
        <v>24</v>
      </c>
      <c r="C29" s="28" t="s">
        <v>31</v>
      </c>
      <c r="D29" s="29"/>
      <c r="E29" s="53"/>
      <c r="F29" s="54"/>
      <c r="G29" s="55"/>
      <c r="H29" s="49"/>
      <c r="I29" s="49"/>
      <c r="J29" s="49"/>
      <c r="K29" s="49"/>
      <c r="L29" s="49"/>
      <c r="M29" s="50"/>
      <c r="N29" s="51"/>
      <c r="O29" s="52"/>
      <c r="P29" s="2"/>
    </row>
    <row r="30" spans="1:16" ht="24.95" hidden="1" customHeight="1">
      <c r="A30" s="82"/>
      <c r="B30" s="27" t="s">
        <v>24</v>
      </c>
      <c r="C30" s="28" t="s">
        <v>32</v>
      </c>
      <c r="D30" s="29"/>
      <c r="E30" s="53"/>
      <c r="F30" s="54"/>
      <c r="G30" s="55"/>
      <c r="H30" s="49"/>
      <c r="I30" s="49"/>
      <c r="J30" s="49"/>
      <c r="K30" s="49"/>
      <c r="L30" s="49"/>
      <c r="M30" s="50"/>
      <c r="N30" s="51"/>
      <c r="O30" s="52"/>
      <c r="P30" s="2"/>
    </row>
    <row r="31" spans="1:16" ht="24.95" hidden="1" customHeight="1">
      <c r="A31" s="83"/>
      <c r="B31" s="27" t="s">
        <v>24</v>
      </c>
      <c r="C31" s="28" t="s">
        <v>33</v>
      </c>
      <c r="D31" s="56"/>
      <c r="E31" s="53"/>
      <c r="F31" s="54"/>
      <c r="G31" s="55"/>
      <c r="H31" s="49"/>
      <c r="I31" s="49"/>
      <c r="J31" s="49"/>
      <c r="K31" s="49"/>
      <c r="L31" s="49"/>
      <c r="M31" s="50"/>
      <c r="N31" s="51"/>
      <c r="O31" s="52"/>
      <c r="P31" s="2"/>
    </row>
    <row r="32" spans="1:16" ht="320" customHeight="1">
      <c r="A32" s="57">
        <v>1</v>
      </c>
      <c r="B32" s="78" t="s">
        <v>43</v>
      </c>
      <c r="C32" s="79"/>
      <c r="D32" s="80"/>
      <c r="E32" s="58">
        <v>1</v>
      </c>
      <c r="F32" s="59" t="s">
        <v>39</v>
      </c>
      <c r="G32" s="60" t="s">
        <v>45</v>
      </c>
      <c r="H32" s="58" t="s">
        <v>40</v>
      </c>
      <c r="I32" s="61">
        <v>1</v>
      </c>
      <c r="J32" s="62">
        <v>46300</v>
      </c>
      <c r="K32" s="62">
        <v>46300</v>
      </c>
      <c r="L32" s="62">
        <v>46305</v>
      </c>
      <c r="M32" s="62">
        <v>46305</v>
      </c>
      <c r="N32" s="63"/>
      <c r="O32" s="64"/>
      <c r="P32" s="65" t="s">
        <v>41</v>
      </c>
    </row>
    <row r="33" spans="1:16" ht="180" customHeight="1">
      <c r="A33" s="84">
        <v>2</v>
      </c>
      <c r="B33" s="84" t="s">
        <v>44</v>
      </c>
      <c r="C33" s="84"/>
      <c r="D33" s="84"/>
      <c r="E33" s="85">
        <v>1</v>
      </c>
      <c r="F33" s="87" t="s">
        <v>39</v>
      </c>
      <c r="G33" s="88" t="s">
        <v>46</v>
      </c>
      <c r="H33" s="66" t="s">
        <v>40</v>
      </c>
      <c r="I33" s="90">
        <v>0</v>
      </c>
      <c r="J33" s="92">
        <v>46307</v>
      </c>
      <c r="K33" s="92">
        <v>46307</v>
      </c>
      <c r="L33" s="92">
        <v>46312</v>
      </c>
      <c r="M33" s="92">
        <v>46312</v>
      </c>
      <c r="N33" s="63"/>
      <c r="O33" s="64"/>
      <c r="P33" s="65" t="s">
        <v>42</v>
      </c>
    </row>
    <row r="34" spans="1:16" ht="179.1" customHeight="1">
      <c r="A34" s="84"/>
      <c r="B34" s="84"/>
      <c r="C34" s="84"/>
      <c r="D34" s="84"/>
      <c r="E34" s="86"/>
      <c r="F34" s="87"/>
      <c r="G34" s="89"/>
      <c r="H34" s="67"/>
      <c r="I34" s="91"/>
      <c r="J34" s="93"/>
      <c r="K34" s="93"/>
      <c r="L34" s="93"/>
      <c r="M34" s="93"/>
      <c r="N34" s="63"/>
      <c r="O34" s="64"/>
      <c r="P34" s="65"/>
    </row>
    <row r="35" spans="1:16" ht="23.25" customHeight="1">
      <c r="A35" s="2"/>
      <c r="B35" s="2"/>
      <c r="C35" s="2"/>
      <c r="E35" s="68"/>
      <c r="F35" s="2"/>
      <c r="G35" s="2"/>
      <c r="H35" s="2"/>
      <c r="J35" s="2"/>
      <c r="K35" s="2"/>
      <c r="L35" s="2"/>
      <c r="M35" s="2"/>
      <c r="N35" s="2"/>
      <c r="O35" s="2"/>
      <c r="P35" s="2"/>
    </row>
    <row r="36" spans="1:16" ht="28.5" customHeight="1">
      <c r="A36" s="2"/>
      <c r="B36" s="2"/>
      <c r="C36" s="2"/>
      <c r="E36" s="2"/>
      <c r="F36" s="2"/>
      <c r="G36" s="2"/>
      <c r="H36" s="2"/>
      <c r="I36" s="2"/>
      <c r="J36" s="2"/>
      <c r="K36" s="2"/>
      <c r="L36" s="2"/>
      <c r="M36" s="2"/>
      <c r="N36" s="2"/>
      <c r="O36" s="2"/>
      <c r="P36" s="2"/>
    </row>
    <row r="37" spans="1:16" ht="23.25" customHeight="1">
      <c r="A37" s="2"/>
      <c r="B37" s="2"/>
      <c r="C37" s="2"/>
      <c r="E37" s="2"/>
      <c r="F37" s="2"/>
      <c r="G37" s="2"/>
      <c r="H37" s="2"/>
      <c r="J37" s="2"/>
      <c r="K37" s="2"/>
      <c r="L37" s="2"/>
      <c r="M37" s="2"/>
      <c r="N37" s="2"/>
      <c r="O37" s="2"/>
      <c r="P37" s="2"/>
    </row>
    <row r="38" spans="1:16" ht="31.5" customHeight="1">
      <c r="A38" s="2"/>
      <c r="B38" s="2"/>
      <c r="C38" s="2"/>
      <c r="E38" s="2"/>
      <c r="F38" s="2"/>
    </row>
    <row r="39" spans="1:16" ht="24.95" customHeight="1">
      <c r="A39" s="2"/>
      <c r="B39" s="2"/>
      <c r="C39" s="2"/>
      <c r="E39" s="2"/>
      <c r="F39" s="2"/>
    </row>
    <row r="40" spans="1:16" ht="24.95" customHeight="1">
      <c r="A40" s="2"/>
      <c r="B40" s="2"/>
      <c r="C40" s="2"/>
      <c r="E40" s="2"/>
      <c r="F40" s="2"/>
    </row>
  </sheetData>
  <autoFilter ref="A7:O34" xr:uid="{00000000-0009-0000-0000-000000000000}"/>
  <mergeCells count="22">
    <mergeCell ref="J33:J34"/>
    <mergeCell ref="K33:K34"/>
    <mergeCell ref="L33:L34"/>
    <mergeCell ref="M33:M34"/>
    <mergeCell ref="B33:D34"/>
    <mergeCell ref="A33:A34"/>
    <mergeCell ref="E33:E34"/>
    <mergeCell ref="F33:F34"/>
    <mergeCell ref="G33:G34"/>
    <mergeCell ref="I33:I34"/>
    <mergeCell ref="B8:C8"/>
    <mergeCell ref="B16:C16"/>
    <mergeCell ref="B24:C24"/>
    <mergeCell ref="B32:D32"/>
    <mergeCell ref="A8:A15"/>
    <mergeCell ref="A16:A23"/>
    <mergeCell ref="A24:A31"/>
    <mergeCell ref="A1:C1"/>
    <mergeCell ref="D1:O1"/>
    <mergeCell ref="D2:O2"/>
    <mergeCell ref="A6:M6"/>
    <mergeCell ref="B7:D7"/>
  </mergeCells>
  <hyperlinks>
    <hyperlink ref="P33" r:id="rId1" xr:uid="{00000000-0004-0000-0000-000000000000}"/>
    <hyperlink ref="P32" r:id="rId2" xr:uid="{00000000-0004-0000-0000-000001000000}"/>
  </hyperlinks>
  <printOptions horizontalCentered="1"/>
  <pageMargins left="0.59055118110236204" right="0.59055118110236204" top="0.59055118110236204" bottom="0.59055118110236204" header="0.196850393700787" footer="0.196850393700787"/>
  <pageSetup paperSize="9" scale="44" fitToHeight="0" orientation="landscape"/>
  <headerFooter>
    <oddHeader>&amp;L&amp;"+,Italic"&amp;8&amp;K7030A0WEEKLY REPORT</oddHeader>
    <oddFooter>&amp;R&amp;"+,Italic"&amp;8&amp;K7030A0Page &amp;P of &amp;N</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B0E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C+nWazvwAAAB0BAAATAAAARm9ybXVsYXMvU2VjdGlvbjEubV2PQQuCQBCF74L/YdguCiJ4lk5Sxw4ZdIgOq00prjuxO1Ih/vfWloqay8CbN9+bsVhzSxpK37M8DMLANtLgCXayUpjBEhRyGICrkgZTo1NW9xpVWgzGoOY9ma4i6qJ4PGxkj0vhN8VxOhSk2VmOiQcsRNFIfZnhjysKR3pZ052R2p7J9AWpodfz0EY+LRlH4dVMJMBuAox3nqb4w1y3inG+eEs3+4WWqNxXsxb95SaAsm6AzYBxGLT6fdwvKH8C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ALAgAAW0NvbnRlbnRfVHlwZXNdLnhtbFBLAQIUAAoAAAAAAIdO4kAAAAAAAAAAAAAAAAAHAAAAAAAAAAAAEAAAAAAAAABDb25maWcvUEsBAhQAFAAAAAgAh07iQBI4/pifAAAA8wAAABIAAAAAAAAAAQAgAAAAJQAAAENvbmZpZy9QYWNrYWdlLnhtbFBLAQIUAAoAAAAAAIdO4kAAAAAAAAAAAAAAAAAJAAAAAAAAAAAAEAAAAPQAAABGb3JtdWxhcy9QSwECFAAUAAAACACHTuJAvp1ms78AAAAdAQAAEwAAAAAAAAABACAAAAAbAQAARm9ybXVsYXMvU2VjdGlvbjEubVBLBQYAAAAABQAFAC4BAADZ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pwMAAAAAAACFAw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IC8+PC9JdGVtPjxJdGVtPjxJdGVtTG9jYXRpb24+PEl0ZW1UeXBlPkZvcm11bGE8L0l0ZW1UeXBlPjxJdGVtUGF0aD5TZWN0aW9uMS9UYWJsZTE8L0l0ZW1QYXRoPjwvSXRlbUxvY2F0aW9uPjxTdGFibGVFbnRyaWVzPjxFbnRyeSBUeXBlPSJJc1ByaXZhdGUiIFZhbHVlPSJsMCIgLz48RW50cnkgVHlwZT0iRmlsbEVuYWJsZWQiIFZhbHVlPSJsMCIgLz48RW50cnkgVHlwZT0iRmlsbE9iamVjdFR5cGUiIFZhbHVlPSJzQ29ubmVjdGlvbk9ubHkiIC8+PEVudHJ5IFR5cGU9IlF1ZXJ5SUQiIFZhbHVlPSJzOWYyOWNhNzgtZDFiMi00NDJmLTkzOGMtYTBkZWMyZGM4ZmYxIiAvPjxFbnRyeSBUeXBlPSJSZXN1bHRUeXBlIiBWYWx1ZT0ic1RhYmxlIiAvPjxFbnRyeSBUeXBlPSJGaWxsQ291bnQiIFZhbHVlPSJsMSIgLz48RW50cnkgVHlwZT0iRmlsbEVycm9yQ291bnQiIFZhbHVlPSJsMCIgLz48RW50cnkgVHlwZT0iRmlsbExhc3RVcGRhdGVkIiBWYWx1ZT0iZDIwMjQtMDUtMjJUMDc6MTI6MzYuODU2MDAwMFoiIC8+PEVudHJ5IFR5cGU9IkZpbGxDb2x1bW5OYW1lcyIgVmFsdWU9J3NbJnF1b3Q7Q29sdW1uMSZxdW90O10nIC8+PC9TdGFibGVFbnRyaWVzPjwvSXRlbT48L0l0ZW1zPjwvTG9jYWxQYWNrYWdlTWV0YWRhdGFGaWxlPhYAAABQSwUGAAAAAAAAAAAAAAAAAAAAAAAAJgEAAAEAAADQjJ3fARXREYx6AMBPwpfrAQAAAEdETNZX/KhEiiBDUklWhCYAAAAAAgAAAAAAEGYAAAABAAAgAAAAIcKDYzxVsWDSa9zGm+NfcnGo5UO0WHm5chOFgTymQokAAAAADoAAAAACAAAgAAAA0+S3KwCY3jEISOXXghLH3qHjDIdOyaoXz6EIwRbzIIlQAAAABvwVEt00C0P5Dp4zxVFiOoXoKlXhQG5+xuJerjVNzWaL7WXtNA3CfrmKdY+lmTJs+p8TyDalAZpcrVF9F1lWgr+q+PWH5kVHqpNjZtG+C4BAAAAAiR+h8eAINlNGVvZdIPrr/9DwqL5EgHpFXLIAxDbu2KHA6GGKw0rD0EWJg7rw2Up7AyVwwCqR/xDvYkMJdlZDRA==</DataMashup>
</file>

<file path=customXml/itemProps1.xml><?xml version="1.0" encoding="utf-8"?>
<ds:datastoreItem xmlns:ds="http://schemas.openxmlformats.org/officeDocument/2006/customXml" ds:itemID="{D51427FA-BCAD-423E-A8A5-5D59994229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Weekly Report</vt:lpstr>
      <vt:lpstr>'Weekly Report'!Print_Titles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Quý Đạt Hoàng</cp:lastModifiedBy>
  <dcterms:created xsi:type="dcterms:W3CDTF">2024-05-23T01:26:00Z</dcterms:created>
  <dcterms:modified xsi:type="dcterms:W3CDTF">2026-10-05T04:38:54Z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1344F5FA0D20346457D6626A481D9028_42</vt:lpwstr>
  </property>
  <property fmtid="{D5CDD505-2E9C-101B-9397-08002B2CF9AE}" pid="3" name="KSOProductBuildVer">
    <vt:lpwstr>1033-12.1.0.28485</vt:lpwstr>
  </property>
  <property fmtid="{D5CDD505-2E9C-101B-9397-08002B2CF9AE}" pid="4" name="CalculationRule">
    <vt:i4>0</vt:i4>
  </property>
</Properties>
</file>