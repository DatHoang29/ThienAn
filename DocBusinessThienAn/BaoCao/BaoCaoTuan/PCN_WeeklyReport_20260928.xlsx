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This PC\OneDrive\Máy tính\"/>
    </mc:Choice>
  </mc:AlternateContent>
  <xr:revisionPtr revIDLastSave="0" documentId="13_ncr:1_{775B4738-0EE7-4479-BF2F-28C9555B1104}" xr6:coauthVersionLast="47" xr6:coauthVersionMax="47" xr10:uidLastSave="{00000000-0000-0000-0000-000000000000}"/>
  <bookViews>
    <workbookView xWindow="-120" yWindow="-120" windowWidth="29040" windowHeight="15720" tabRatio="348" xr2:uid="{00000000-000D-0000-FFFF-FFFF00000000}"/>
  </bookViews>
  <sheets>
    <sheet name="Weekly Report" sheetId="7" r:id="rId1"/>
  </sheets>
  <definedNames>
    <definedName name="_xlnm._FilterDatabase" localSheetId="0" hidden="1">'Weekly Report'!$A$7:$O$34</definedName>
    <definedName name="_xlnm.Print_Titles" localSheetId="0">'Weekly Report'!$7:$7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 l="1"/>
  <c r="A16" i="7" s="1"/>
  <c r="A2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5" refreshedVersion="2"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<sst xmlns="http://schemas.openxmlformats.org/spreadsheetml/2006/main" count="96" uniqueCount="47">
  <si>
    <r>
      <rPr>
        <b/>
        <sz val="12"/>
        <color rgb="FF002060"/>
        <rFont val="Times New Roman"/>
        <charset val="134"/>
      </rPr>
      <t xml:space="preserve">CÔNG TY CỔ PHẦN ĐẦU TƯ CÔNG NGHỆ </t>
    </r>
    <r>
      <rPr>
        <b/>
        <sz val="12"/>
        <color rgb="FFFF0000"/>
        <rFont val="Times New Roman"/>
        <charset val="134"/>
      </rPr>
      <t>THIÊN ÂN</t>
    </r>
    <r>
      <rPr>
        <b/>
        <sz val="12"/>
        <color rgb="FF002060"/>
        <rFont val="Times New Roman"/>
        <charset val="134"/>
      </rPr>
      <t xml:space="preserve">
</t>
    </r>
  </si>
  <si>
    <r>
      <rPr>
        <b/>
        <sz val="14"/>
        <rFont val="Times New Roman"/>
        <charset val="134"/>
      </rPr>
      <t xml:space="preserve">EMPLOYEE NAME - WEEKLY REPORT </t>
    </r>
    <r>
      <rPr>
        <b/>
        <sz val="14"/>
        <color rgb="FF0000FF"/>
        <rFont val="Times New Roman"/>
        <charset val="134"/>
      </rPr>
      <t>OF THE DEPLOY DEPARTMENT</t>
    </r>
  </si>
  <si>
    <t>Thời gian: 
26.03.30 - 26.04.04</t>
  </si>
  <si>
    <t>Chú thích:</t>
  </si>
  <si>
    <r>
      <rPr>
        <i/>
        <sz val="10"/>
        <color rgb="FFFF0000"/>
        <rFont val="Times New Roman"/>
        <charset val="134"/>
      </rPr>
      <t>"Đỏ"</t>
    </r>
    <r>
      <rPr>
        <i/>
        <sz val="10"/>
        <color rgb="FF0000FF"/>
        <rFont val="Times New Roman"/>
        <charset val="134"/>
      </rPr>
      <t xml:space="preserve"> - </t>
    </r>
    <r>
      <rPr>
        <i/>
        <sz val="10"/>
        <color theme="1"/>
        <rFont val="Times New Roman"/>
        <charset val="134"/>
      </rPr>
      <t>thời gian deadline dự kiến</t>
    </r>
  </si>
  <si>
    <r>
      <rPr>
        <i/>
        <sz val="10"/>
        <color rgb="FF0000FF"/>
        <rFont val="Times New Roman"/>
        <charset val="134"/>
      </rPr>
      <t>"Xanh dương"</t>
    </r>
    <r>
      <rPr>
        <i/>
        <sz val="10"/>
        <color theme="1"/>
        <rFont val="Times New Roman"/>
        <charset val="134"/>
      </rPr>
      <t xml:space="preserve"> - Công việc đã hoàn thành</t>
    </r>
  </si>
  <si>
    <t>N.o</t>
  </si>
  <si>
    <t>Informations of project</t>
  </si>
  <si>
    <t>Project</t>
  </si>
  <si>
    <t>Task name</t>
  </si>
  <si>
    <t>Assignment</t>
  </si>
  <si>
    <t>% complete</t>
  </si>
  <si>
    <t>Assign Day</t>
  </si>
  <si>
    <t>Start Day</t>
  </si>
  <si>
    <t>Expected day</t>
  </si>
  <si>
    <t>Finish day</t>
  </si>
  <si>
    <t>Status</t>
  </si>
  <si>
    <t>Note</t>
  </si>
  <si>
    <t>Base</t>
  </si>
  <si>
    <t>Project  name</t>
  </si>
  <si>
    <t>Cầu Đồng Nai (DNC)</t>
  </si>
  <si>
    <t xml:space="preserve"> - </t>
  </si>
  <si>
    <t>Xây dựng chương trình đồng bộ dữ liệu thu phí MTC đến TCĐB:
1. Xây dựng tài liệu
2. Xây dựng phần mềm
3. Kiểm thử phần mềm</t>
  </si>
  <si>
    <t>QA, Sơn</t>
  </si>
  <si>
    <t xml:space="preserve"> -</t>
  </si>
  <si>
    <t>Section:</t>
  </si>
  <si>
    <t>Cập nhật các tính năng soát vé làn miễn phí:
1. Thay thế I/O Box cũ bằng PLC S7-1200
2. Áp dụng soát vé tháng</t>
  </si>
  <si>
    <t>Project  manager:</t>
  </si>
  <si>
    <t>Tống Thanh Thương</t>
  </si>
  <si>
    <t>Investor/ Client:</t>
  </si>
  <si>
    <t>Contract:</t>
  </si>
  <si>
    <t>Appendix of contract:</t>
  </si>
  <si>
    <t>Time of deployment:</t>
  </si>
  <si>
    <t>Deadline:</t>
  </si>
  <si>
    <t>TTP Cà Ná</t>
  </si>
  <si>
    <t>Xây dựng chương trình đồng bộ dữ liệu thu phí MTC đến TCĐB</t>
  </si>
  <si>
    <t>TTP DT 741</t>
  </si>
  <si>
    <t>Thêm 1 báo cáo thống kê  thống kê thẻ trừ dần</t>
  </si>
  <si>
    <t>Hỗ trợ kiểm tra số tiền trừ không khớp thực tế</t>
  </si>
  <si>
    <t>ITS010</t>
  </si>
  <si>
    <t>Đạt</t>
  </si>
  <si>
    <t>https://wework.base.vn/mytasks?task=9788161</t>
  </si>
  <si>
    <t>https://wework.base.vn/mytasks?task=9981714</t>
  </si>
  <si>
    <t>Công việc trong tuần: 
26.09.28 - 26.10.03</t>
  </si>
  <si>
    <t>Công việc trong tuần tiếp theo: 
26.10.05 - 26.10.10</t>
  </si>
  <si>
    <t>Phát triển luồng gửi tức thì khi có dữ liệu mới (SendOnNewData) và cơ chế gửi phân trang nối đuôi (Pagination/Checkpoint): tự động kích hoạt gửi ngay khi có thay đổi dữ liệu, xử lý liên tục từng trang dữ liệu lớn mà không bị gián đoạn hay sót bản ghi, đồng thời tịnh tiến điểm mốc an toàn sau mỗi trang thành công.
Thiết kế và tái cấu trúc hệ thống log truyền nhận trên Backend Worker theo mô hình Cha - Con (2 bước độc lập: Trích xuất dữ liệu &amp; Đóng gói/Vận chuyển tới đối tác); xây dựng API truy vấn cây tiến trình (GetSteps) phục vụ hiển thị chi tiết phía Client.
Hoàn thiện giao diện Modal chi tiết nhật ký trên WebVue (activityDetailDialog): tích hợp cây tiến trình 2 bước trực quan (ElSteps dọc), hiển thị thời lượng thực thi, chuẩn hóa thông tin gói (gộp Serial/Số gói, định dạng file) và hỗ trợ thao tác đóng modal linh hoạt.</t>
  </si>
  <si>
    <t>Triển khai phiên bản mới lên môi trường Staging; giám sát hoạt động thực tế của ShareDataWorker đối với các luồng truyền nhận dữ liệu định kỳ, luồng gửi tức thì khi có dữ liệu mới (SendOnNewData) và luồng phân trang gửi nối đuôi.
Phối hợp chặt chẽ cùng đội ngũ kiểm thử (Tester/QA): tiếp nhận, phân loại và xử lý kịp thời các lỗi phát sinh (Fix bug) trên sheet theo dõi lỗi (F16/Issue Tracking) liên quan đến phân hệ ShareData ở cả Backend API, Worker và giao diện WebVue.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</si>
</sst>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charset val="134"/>
    </font>
    <font>
      <i/>
      <sz val="10"/>
      <color rgb="FF0000FF"/>
      <name val="Times New Roman"/>
      <charset val="134"/>
    </font>
    <font>
      <b/>
      <sz val="10"/>
      <name val="Times New Roman"/>
      <charset val="134"/>
    </font>
    <font>
      <sz val="10"/>
      <name val="Times New Roman"/>
      <charset val="134"/>
    </font>
    <font>
      <b/>
      <sz val="12"/>
      <name val="Times New Roman"/>
      <charset val="134"/>
    </font>
    <font>
      <b/>
      <sz val="14"/>
      <name val="Times New Roman"/>
      <charset val="134"/>
    </font>
    <font>
      <i/>
      <sz val="10"/>
      <color theme="1"/>
      <name val="Times New Roman"/>
      <charset val="134"/>
    </font>
    <font>
      <sz val="10"/>
      <color theme="1"/>
      <name val="Times New Roman"/>
      <charset val="134"/>
    </font>
    <font>
      <b/>
      <sz val="10"/>
      <color rgb="FF0000FF"/>
      <name val="Times New Roman"/>
      <charset val="134"/>
    </font>
    <font>
      <sz val="10"/>
      <color rgb="FF0000FF"/>
      <name val="Times New Roman"/>
      <charset val="134"/>
    </font>
    <font>
      <sz val="10"/>
      <color rgb="FF3A3A3A"/>
      <name val="Times New Roman"/>
      <charset val="134"/>
    </font>
    <font>
      <u/>
      <sz val="10"/>
      <color theme="10"/>
      <name val="Arial"/>
      <charset val="134"/>
    </font>
    <font>
      <sz val="11"/>
      <color rgb="FF0000FF"/>
      <name val="Times New Roman"/>
      <charset val="134"/>
    </font>
    <font>
      <sz val="11"/>
      <color theme="1"/>
      <name val="Arial"/>
      <charset val="134"/>
      <scheme val="minor"/>
    </font>
    <font>
      <sz val="10"/>
      <name val="Arial"/>
      <charset val="134"/>
    </font>
    <font>
      <i/>
      <sz val="10"/>
      <color rgb="FFFF0000"/>
      <name val="Times New Roman"/>
      <charset val="134"/>
    </font>
    <font>
      <b/>
      <sz val="12"/>
      <color rgb="FF002060"/>
      <name val="Times New Roman"/>
      <charset val="134"/>
    </font>
    <font>
      <b/>
      <sz val="12"/>
      <color rgb="FFFF0000"/>
      <name val="Times New Roman"/>
      <charset val="134"/>
    </font>
    <font>
      <b/>
      <sz val="14"/>
      <color rgb="FF0000FF"/>
      <name val="Times New Roman"/>
      <charset val="134"/>
    </font>
    <font>
      <sz val="10"/>
      <color rgb="FF000000"/>
      <name val="Arial"/>
      <charset val="134"/>
    </font>
  </fonts>
  <fills count="5">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rgb="FFD9D9D9"/>
        <bgColor rgb="FF000000"/>
      </patternFill>
    </fill>
  </fills>
  <borders count="17">
    <border>
      <left/>
      <right/>
      <top/>
      <bottom/>
      <diagonal/>
    </border>
    <border>
      <left/>
      <right/>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s>
  <cellStyleXfs count="7">
    <xf numFmtId="0" fontId="0" fillId="0" borderId="0"/>
    <xf numFmtId="0" fontId="11" fillId="0" borderId="0" applyNumberFormat="0" applyFill="0" applyBorder="0" applyAlignment="0" applyProtection="0"/>
    <xf numFmtId="0" fontId="13" fillId="0" borderId="0"/>
    <xf numFmtId="0" fontId="13" fillId="0" borderId="0"/>
    <xf numFmtId="0" fontId="13" fillId="0" borderId="0"/>
    <xf numFmtId="0" fontId="19" fillId="0" borderId="0"/>
    <xf numFmtId="0" fontId="14" fillId="0" borderId="0"/>
  </cellStyleXfs>
  <cellXfs count="94">
    <xf numFmtId="0" fontId="0" fillId="0" borderId="0" xfId="0"/>
    <xf numFmtId="0" fontId="1" fillId="0" borderId="0" xfId="6" applyFont="1" applyAlignment="1">
      <alignment horizontal="left" vertical="top" wrapText="1"/>
    </xf>
    <xf numFmtId="0" fontId="2" fillId="0" borderId="0" xfId="6" applyFont="1" applyAlignment="1">
      <alignment horizontal="center" vertical="center" wrapText="1"/>
    </xf>
    <xf numFmtId="0" fontId="2" fillId="0" borderId="0" xfId="6" applyFont="1" applyAlignment="1">
      <alignment horizontal="left" vertical="center" wrapText="1"/>
    </xf>
    <xf numFmtId="0" fontId="3" fillId="0" borderId="0" xfId="6" applyFont="1" applyAlignment="1">
      <alignment horizontal="left" vertical="center" wrapText="1"/>
    </xf>
    <xf numFmtId="0" fontId="3" fillId="0" borderId="0" xfId="6" applyFont="1" applyAlignment="1">
      <alignment horizontal="center" vertical="center" wrapText="1"/>
    </xf>
    <xf numFmtId="0" fontId="3" fillId="2" borderId="0" xfId="6" applyFont="1" applyFill="1" applyAlignment="1">
      <alignment horizontal="center" vertical="center" wrapText="1"/>
    </xf>
    <xf numFmtId="0" fontId="5" fillId="2" borderId="0" xfId="6" applyFont="1" applyFill="1" applyAlignment="1">
      <alignment horizontal="center" wrapText="1"/>
    </xf>
    <xf numFmtId="0" fontId="5" fillId="2" borderId="0" xfId="6" applyFont="1" applyFill="1" applyAlignment="1">
      <alignment horizontal="center" vertical="center" wrapText="1"/>
    </xf>
    <xf numFmtId="0" fontId="6" fillId="2" borderId="0" xfId="6" applyFont="1" applyFill="1" applyAlignment="1">
      <alignment horizontal="left" vertical="top" wrapText="1"/>
    </xf>
    <xf numFmtId="0" fontId="7" fillId="2" borderId="0" xfId="6" applyFont="1" applyFill="1" applyAlignment="1">
      <alignment horizontal="left" vertical="top" wrapText="1"/>
    </xf>
    <xf numFmtId="0" fontId="1" fillId="2" borderId="0" xfId="6" applyFont="1" applyFill="1" applyAlignment="1">
      <alignment horizontal="right" vertical="top" wrapText="1"/>
    </xf>
    <xf numFmtId="0" fontId="1" fillId="0" borderId="0" xfId="6" applyFont="1" applyAlignment="1">
      <alignment horizontal="center" vertical="top" wrapText="1"/>
    </xf>
    <xf numFmtId="0" fontId="2" fillId="3" borderId="3"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3" borderId="3" xfId="6" applyFont="1" applyFill="1" applyBorder="1" applyAlignment="1">
      <alignment vertical="center" wrapText="1"/>
    </xf>
    <xf numFmtId="0" fontId="2" fillId="4" borderId="3" xfId="6" applyFont="1" applyFill="1" applyBorder="1" applyAlignment="1">
      <alignment horizontal="center" vertical="center" wrapText="1"/>
    </xf>
    <xf numFmtId="0" fontId="2" fillId="3" borderId="3" xfId="0" applyFont="1" applyFill="1" applyBorder="1" applyAlignment="1">
      <alignment horizontal="center" vertical="center" wrapText="1"/>
    </xf>
    <xf numFmtId="0" fontId="8" fillId="2" borderId="9" xfId="6" applyFont="1" applyFill="1" applyBorder="1" applyAlignment="1">
      <alignment horizontal="left" vertical="top" wrapText="1"/>
    </xf>
    <xf numFmtId="0" fontId="9" fillId="2" borderId="4" xfId="6" applyFont="1" applyFill="1" applyBorder="1" applyAlignment="1">
      <alignment horizontal="right" vertical="top" wrapText="1"/>
    </xf>
    <xf numFmtId="0" fontId="9" fillId="2" borderId="5" xfId="6" applyFont="1" applyFill="1" applyBorder="1" applyAlignment="1">
      <alignment horizontal="right" vertical="top" wrapText="1"/>
    </xf>
    <xf numFmtId="0" fontId="9" fillId="2" borderId="6" xfId="6" applyFont="1" applyFill="1" applyBorder="1" applyAlignment="1">
      <alignment horizontal="left" vertical="top" wrapText="1"/>
    </xf>
    <xf numFmtId="0" fontId="9" fillId="2" borderId="3" xfId="6" applyFont="1" applyFill="1" applyBorder="1" applyAlignment="1">
      <alignment vertical="top"/>
    </xf>
    <xf numFmtId="9" fontId="9" fillId="2" borderId="3" xfId="6" applyNumberFormat="1" applyFont="1" applyFill="1" applyBorder="1" applyAlignment="1">
      <alignment vertical="top"/>
    </xf>
    <xf numFmtId="14" fontId="9" fillId="2" borderId="3" xfId="6" applyNumberFormat="1" applyFont="1" applyFill="1" applyBorder="1" applyAlignment="1">
      <alignment vertical="center"/>
    </xf>
    <xf numFmtId="14" fontId="9" fillId="2" borderId="6" xfId="6" applyNumberFormat="1" applyFont="1" applyFill="1" applyBorder="1" applyAlignment="1">
      <alignment vertical="center"/>
    </xf>
    <xf numFmtId="0" fontId="9" fillId="2" borderId="6" xfId="6" applyFont="1" applyFill="1" applyBorder="1" applyAlignment="1">
      <alignment horizontal="center" vertical="top" wrapText="1"/>
    </xf>
    <xf numFmtId="0" fontId="3" fillId="2" borderId="11" xfId="6" applyFont="1" applyFill="1" applyBorder="1" applyAlignment="1">
      <alignment horizontal="right" vertical="top" wrapText="1"/>
    </xf>
    <xf numFmtId="0" fontId="3" fillId="2" borderId="0" xfId="6" applyFont="1" applyFill="1" applyAlignment="1">
      <alignment vertical="top" wrapText="1"/>
    </xf>
    <xf numFmtId="0" fontId="9" fillId="2" borderId="0" xfId="6" applyFont="1" applyFill="1" applyAlignment="1">
      <alignment horizontal="left" vertical="top" wrapText="1"/>
    </xf>
    <xf numFmtId="0" fontId="9" fillId="2" borderId="3" xfId="6" applyFont="1" applyFill="1" applyBorder="1" applyAlignment="1">
      <alignment vertical="center"/>
    </xf>
    <xf numFmtId="0" fontId="9" fillId="2" borderId="6" xfId="6" applyFont="1" applyFill="1" applyBorder="1" applyAlignment="1">
      <alignment vertical="center"/>
    </xf>
    <xf numFmtId="0" fontId="9" fillId="2" borderId="6" xfId="6" applyFont="1" applyFill="1" applyBorder="1" applyAlignment="1">
      <alignment vertical="top" wrapText="1"/>
    </xf>
    <xf numFmtId="0" fontId="9" fillId="2" borderId="4" xfId="6" applyFont="1" applyFill="1" applyBorder="1" applyAlignment="1">
      <alignment vertical="top"/>
    </xf>
    <xf numFmtId="0" fontId="9" fillId="2" borderId="5" xfId="6" applyFont="1" applyFill="1" applyBorder="1" applyAlignment="1">
      <alignment vertical="top"/>
    </xf>
    <xf numFmtId="0" fontId="9" fillId="2" borderId="6" xfId="6" applyFont="1" applyFill="1" applyBorder="1" applyAlignment="1">
      <alignment vertical="top"/>
    </xf>
    <xf numFmtId="0" fontId="3" fillId="2" borderId="13" xfId="6" applyFont="1" applyFill="1" applyBorder="1" applyAlignment="1">
      <alignment horizontal="right" vertical="top" wrapText="1"/>
    </xf>
    <xf numFmtId="0" fontId="3" fillId="2" borderId="14" xfId="6" applyFont="1" applyFill="1" applyBorder="1" applyAlignment="1">
      <alignment vertical="top" wrapText="1"/>
    </xf>
    <xf numFmtId="14" fontId="9" fillId="0" borderId="14" xfId="6" applyNumberFormat="1" applyFont="1" applyBorder="1" applyAlignment="1">
      <alignment horizontal="left" vertical="top" wrapText="1"/>
    </xf>
    <xf numFmtId="0" fontId="9" fillId="2" borderId="13" xfId="6" applyFont="1" applyFill="1" applyBorder="1" applyAlignment="1">
      <alignment vertical="top"/>
    </xf>
    <xf numFmtId="0" fontId="9" fillId="2" borderId="14" xfId="6" applyFont="1" applyFill="1" applyBorder="1" applyAlignment="1">
      <alignment vertical="top"/>
    </xf>
    <xf numFmtId="0" fontId="9" fillId="2" borderId="15" xfId="6" applyFont="1" applyFill="1" applyBorder="1" applyAlignment="1">
      <alignment vertical="top"/>
    </xf>
    <xf numFmtId="0" fontId="9" fillId="2" borderId="12" xfId="6" applyFont="1" applyFill="1" applyBorder="1" applyAlignment="1">
      <alignment vertical="top"/>
    </xf>
    <xf numFmtId="0" fontId="9" fillId="2" borderId="12" xfId="6" applyFont="1" applyFill="1" applyBorder="1" applyAlignment="1">
      <alignment vertical="center"/>
    </xf>
    <xf numFmtId="0" fontId="9" fillId="2" borderId="15" xfId="6" applyFont="1" applyFill="1" applyBorder="1" applyAlignment="1">
      <alignment vertical="center"/>
    </xf>
    <xf numFmtId="0" fontId="9" fillId="2" borderId="15" xfId="6" applyFont="1" applyFill="1" applyBorder="1" applyAlignment="1">
      <alignment horizontal="center" vertical="top" wrapText="1"/>
    </xf>
    <xf numFmtId="0" fontId="9" fillId="2" borderId="11" xfId="6" applyFont="1" applyFill="1" applyBorder="1" applyAlignment="1">
      <alignment horizontal="right" vertical="top" wrapText="1"/>
    </xf>
    <xf numFmtId="0" fontId="9" fillId="2" borderId="0" xfId="6" applyFont="1" applyFill="1" applyAlignment="1">
      <alignment horizontal="right" vertical="top" wrapText="1"/>
    </xf>
    <xf numFmtId="0" fontId="9" fillId="2" borderId="16" xfId="6" applyFont="1" applyFill="1" applyBorder="1" applyAlignment="1">
      <alignment vertical="top" wrapText="1"/>
    </xf>
    <xf numFmtId="0" fontId="9" fillId="2" borderId="10" xfId="6" applyFont="1" applyFill="1" applyBorder="1" applyAlignment="1">
      <alignment vertical="top"/>
    </xf>
    <xf numFmtId="0" fontId="9" fillId="2" borderId="10" xfId="6" applyFont="1" applyFill="1" applyBorder="1" applyAlignment="1">
      <alignment vertical="center"/>
    </xf>
    <xf numFmtId="0" fontId="9" fillId="2" borderId="16" xfId="6" applyFont="1" applyFill="1" applyBorder="1" applyAlignment="1">
      <alignment vertical="center"/>
    </xf>
    <xf numFmtId="0" fontId="9" fillId="2" borderId="16" xfId="6" applyFont="1" applyFill="1" applyBorder="1" applyAlignment="1">
      <alignment horizontal="center" vertical="top" wrapText="1"/>
    </xf>
    <xf numFmtId="0" fontId="9" fillId="2" borderId="11" xfId="6" applyFont="1" applyFill="1" applyBorder="1" applyAlignment="1">
      <alignment vertical="top"/>
    </xf>
    <xf numFmtId="0" fontId="9" fillId="2" borderId="0" xfId="6" applyFont="1" applyFill="1" applyAlignment="1">
      <alignment vertical="top"/>
    </xf>
    <xf numFmtId="0" fontId="9" fillId="2" borderId="16" xfId="6" applyFont="1" applyFill="1" applyBorder="1" applyAlignment="1">
      <alignment vertical="top"/>
    </xf>
    <xf numFmtId="14" fontId="9" fillId="0" borderId="0" xfId="6" applyNumberFormat="1" applyFont="1" applyAlignment="1">
      <alignment horizontal="left" vertical="top" wrapText="1"/>
    </xf>
    <xf numFmtId="0" fontId="2" fillId="2" borderId="7" xfId="6" applyFont="1" applyFill="1" applyBorder="1" applyAlignment="1">
      <alignment horizontal="center" vertical="center" wrapText="1"/>
    </xf>
    <xf numFmtId="0" fontId="7" fillId="2" borderId="3" xfId="6" applyFont="1" applyFill="1" applyBorder="1" applyAlignment="1">
      <alignment horizontal="center" vertical="center"/>
    </xf>
    <xf numFmtId="0" fontId="3" fillId="0" borderId="7" xfId="6" applyFont="1" applyBorder="1" applyAlignment="1">
      <alignment horizontal="center" vertical="center" wrapText="1"/>
    </xf>
    <xf numFmtId="0" fontId="3" fillId="0" borderId="3" xfId="0" applyFont="1" applyBorder="1" applyAlignment="1">
      <alignment horizontal="left" vertical="top" wrapText="1"/>
    </xf>
    <xf numFmtId="9" fontId="7" fillId="2" borderId="3" xfId="6" applyNumberFormat="1" applyFont="1" applyFill="1" applyBorder="1" applyAlignment="1">
      <alignment horizontal="center" vertical="center"/>
    </xf>
    <xf numFmtId="14" fontId="7" fillId="2" borderId="3" xfId="6" applyNumberFormat="1" applyFont="1" applyFill="1" applyBorder="1" applyAlignment="1">
      <alignment horizontal="right" vertical="center"/>
    </xf>
    <xf numFmtId="14" fontId="7" fillId="2" borderId="3" xfId="6" applyNumberFormat="1" applyFont="1" applyFill="1" applyBorder="1" applyAlignment="1">
      <alignment horizontal="center" vertical="center" wrapText="1"/>
    </xf>
    <xf numFmtId="0" fontId="10" fillId="0" borderId="3" xfId="0" applyFont="1" applyBorder="1" applyAlignment="1">
      <alignment horizontal="left" vertical="top" wrapText="1"/>
    </xf>
    <xf numFmtId="0" fontId="11" fillId="0" borderId="3" xfId="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12" fillId="0" borderId="0" xfId="6" applyFont="1" applyAlignment="1">
      <alignment horizontal="center" vertical="center" wrapText="1"/>
    </xf>
    <xf numFmtId="0" fontId="3" fillId="2" borderId="0" xfId="6" applyFont="1" applyFill="1" applyAlignment="1">
      <alignment horizontal="center" vertical="center" wrapText="1"/>
    </xf>
    <xf numFmtId="0" fontId="4" fillId="2" borderId="1" xfId="6" applyFont="1" applyFill="1" applyBorder="1" applyAlignment="1">
      <alignment horizontal="center" vertical="top" wrapText="1"/>
    </xf>
    <xf numFmtId="0" fontId="5" fillId="2" borderId="2" xfId="6" applyFont="1" applyFill="1" applyBorder="1" applyAlignment="1">
      <alignment horizontal="center" wrapText="1"/>
    </xf>
    <xf numFmtId="0" fontId="1" fillId="2" borderId="0" xfId="6" applyFont="1" applyFill="1" applyAlignment="1">
      <alignment horizontal="right" vertical="top" wrapText="1"/>
    </xf>
    <xf numFmtId="0" fontId="2" fillId="3" borderId="4" xfId="6" applyFont="1" applyFill="1" applyBorder="1" applyAlignment="1">
      <alignment horizontal="center" vertical="center" wrapText="1"/>
    </xf>
    <xf numFmtId="0" fontId="2" fillId="3" borderId="5"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2" borderId="8" xfId="6" applyFont="1" applyFill="1" applyBorder="1" applyAlignment="1">
      <alignment horizontal="left" vertical="top" wrapText="1"/>
    </xf>
    <xf numFmtId="0" fontId="2" fillId="2" borderId="9" xfId="6" applyFont="1" applyFill="1" applyBorder="1" applyAlignment="1">
      <alignment horizontal="left" vertical="top" wrapText="1"/>
    </xf>
    <xf numFmtId="0" fontId="2" fillId="2" borderId="11" xfId="6" applyFont="1" applyFill="1" applyBorder="1" applyAlignment="1">
      <alignment horizontal="center" vertical="center" wrapText="1"/>
    </xf>
    <xf numFmtId="0" fontId="2" fillId="2" borderId="0" xfId="6" applyFont="1" applyFill="1" applyAlignment="1">
      <alignment horizontal="center" vertical="center" wrapText="1"/>
    </xf>
    <xf numFmtId="0" fontId="2" fillId="2" borderId="16" xfId="6" applyFont="1" applyFill="1" applyBorder="1" applyAlignment="1">
      <alignment horizontal="center" vertical="center" wrapText="1"/>
    </xf>
    <xf numFmtId="0" fontId="2" fillId="2" borderId="7" xfId="6" applyFont="1" applyFill="1" applyBorder="1" applyAlignment="1">
      <alignment horizontal="center" vertical="top" wrapText="1"/>
    </xf>
    <xf numFmtId="0" fontId="2" fillId="2" borderId="10" xfId="6" applyFont="1" applyFill="1" applyBorder="1" applyAlignment="1">
      <alignment horizontal="center" vertical="top" wrapText="1"/>
    </xf>
    <xf numFmtId="0" fontId="2" fillId="2" borderId="12" xfId="6" applyFont="1" applyFill="1" applyBorder="1" applyAlignment="1">
      <alignment horizontal="center" vertical="top" wrapText="1"/>
    </xf>
    <xf numFmtId="0" fontId="2" fillId="2" borderId="3" xfId="6" applyFont="1" applyFill="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3" fillId="0" borderId="3" xfId="6" applyFont="1" applyBorder="1" applyAlignment="1">
      <alignment horizontal="center" vertical="center" wrapText="1"/>
    </xf>
    <xf numFmtId="0" fontId="3" fillId="0" borderId="7" xfId="0" applyFont="1" applyBorder="1" applyAlignment="1">
      <alignment horizontal="left" vertical="top" wrapText="1"/>
    </xf>
    <xf numFmtId="0" fontId="3" fillId="0" borderId="12" xfId="0" applyFont="1" applyBorder="1" applyAlignment="1">
      <alignment horizontal="left" vertical="top" wrapText="1"/>
    </xf>
    <xf numFmtId="9" fontId="7" fillId="2" borderId="7" xfId="6" applyNumberFormat="1" applyFont="1" applyFill="1" applyBorder="1" applyAlignment="1">
      <alignment horizontal="center" vertical="center"/>
    </xf>
    <xf numFmtId="9" fontId="7" fillId="2" borderId="12" xfId="6" applyNumberFormat="1" applyFont="1" applyFill="1" applyBorder="1" applyAlignment="1">
      <alignment horizontal="center" vertical="center"/>
    </xf>
    <xf numFmtId="14" fontId="7" fillId="2" borderId="7" xfId="6" applyNumberFormat="1" applyFont="1" applyFill="1" applyBorder="1" applyAlignment="1">
      <alignment horizontal="center" vertical="center"/>
    </xf>
    <xf numFmtId="14" fontId="7" fillId="2" borderId="12" xfId="6" applyNumberFormat="1" applyFont="1" applyFill="1" applyBorder="1" applyAlignment="1">
      <alignment horizontal="center" vertical="center"/>
    </xf>
  </cellXfs>
  <cellStyles count="7">
    <cellStyle name="Hyperlink" xfId="1" builtinId="8"/>
    <cellStyle name="Normal" xfId="0" builtinId="0"/>
    <cellStyle name="Normal 2" xfId="2" xr:uid="{00000000-0005-0000-0000-000031000000}"/>
    <cellStyle name="Normal 2 2" xfId="3" xr:uid="{00000000-0005-0000-0000-000032000000}"/>
    <cellStyle name="Normal 2 3" xfId="4" xr:uid="{00000000-0005-0000-0000-000033000000}"/>
    <cellStyle name="Normal 3" xfId="5" xr:uid="{00000000-0005-0000-0000-000034000000}"/>
    <cellStyle name="Normal 4" xfId="6" xr:uid="{00000000-0005-0000-0000-000035000000}"/>
  </cellStyles>
  <dxfs count="0"/>
  <tableStyles count="0" defaultTableStyle="TableStyleMedium2" defaultPivotStyle="PivotStyleLight16"/>
  <colors>
    <mruColors>
      <color rgb="FF0066FF"/>
      <color rgb="FF0033CC"/>
      <color rgb="FFCCECFF"/>
      <color rgb="FF33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0</xdr:row>
      <xdr:rowOff>9526</xdr:rowOff>
    </xdr:from>
    <xdr:to>
      <xdr:col>2</xdr:col>
      <xdr:colOff>910590</xdr:colOff>
      <xdr:row>3</xdr:row>
      <xdr:rowOff>116458</xdr:rowOff>
    </xdr:to>
    <xdr:pic>
      <xdr:nvPicPr>
        <xdr:cNvPr id="2" name="Picture 2" descr="logo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817" t="6360" r="7387" b="4601"/>
        <a:stretch>
          <a:fillRect/>
        </a:stretch>
      </xdr:blipFill>
      <xdr:spPr>
        <a:xfrm>
          <a:off x="104775" y="9525"/>
          <a:ext cx="1286510" cy="963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ework.base.vn/mytasks?task=9788161" TargetMode="External"/><Relationship Id="rId1" Type="http://schemas.openxmlformats.org/officeDocument/2006/relationships/hyperlink" Target="https://wework.base.vn/mytasks?task=99817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0"/>
  <sheetViews>
    <sheetView tabSelected="1" zoomScale="99" zoomScaleNormal="99" workbookViewId="0">
      <pane xSplit="13" ySplit="7" topLeftCell="N32" activePane="bottomRight" state="frozen"/>
      <selection pane="topRight"/>
      <selection pane="bottomLeft"/>
      <selection pane="bottomRight" activeCell="L33" sqref="L33:L34"/>
    </sheetView>
  </sheetViews>
  <sheetFormatPr defaultColWidth="9.140625" defaultRowHeight="24.95" customHeight="1"/>
  <cols>
    <col min="1" max="1" width="4.140625" style="3" customWidth="1"/>
    <col min="2" max="2" width="3.140625" style="4" customWidth="1"/>
    <col min="3" max="3" width="16.7109375" style="4" customWidth="1"/>
    <col min="4" max="4" width="1.7109375" style="4" customWidth="1"/>
    <col min="5" max="5" width="4.7109375" style="4" customWidth="1"/>
    <col min="6" max="6" width="15.5703125" style="4" customWidth="1"/>
    <col min="7" max="7" width="48.85546875" style="4" customWidth="1"/>
    <col min="8" max="8" width="12.28515625" style="4" customWidth="1"/>
    <col min="9" max="9" width="18.5703125" style="4" customWidth="1"/>
    <col min="10" max="10" width="16.28515625" style="4" customWidth="1"/>
    <col min="11" max="11" width="17.42578125" style="4" customWidth="1"/>
    <col min="12" max="12" width="18.85546875" style="4" customWidth="1"/>
    <col min="13" max="13" width="19.7109375" style="4" customWidth="1"/>
    <col min="14" max="14" width="19.42578125" style="4" customWidth="1"/>
    <col min="15" max="15" width="52" style="4" customWidth="1"/>
    <col min="16" max="16" width="42.85546875" style="5" customWidth="1"/>
    <col min="17" max="16384" width="9.140625" style="4"/>
  </cols>
  <sheetData>
    <row r="1" spans="1:16" ht="20.25" customHeight="1">
      <c r="A1" s="69"/>
      <c r="B1" s="69"/>
      <c r="C1" s="69"/>
      <c r="D1" s="70" t="s">
        <v>0</v>
      </c>
      <c r="E1" s="70"/>
      <c r="F1" s="70"/>
      <c r="G1" s="70"/>
      <c r="H1" s="70"/>
      <c r="I1" s="70"/>
      <c r="J1" s="70"/>
      <c r="K1" s="70"/>
      <c r="L1" s="70"/>
      <c r="M1" s="70"/>
      <c r="N1" s="70"/>
      <c r="O1" s="70"/>
    </row>
    <row r="2" spans="1:16" ht="18" customHeight="1">
      <c r="A2" s="6"/>
      <c r="B2" s="6"/>
      <c r="C2" s="6"/>
      <c r="D2" s="71" t="s">
        <v>1</v>
      </c>
      <c r="E2" s="71"/>
      <c r="F2" s="71"/>
      <c r="G2" s="71"/>
      <c r="H2" s="71"/>
      <c r="I2" s="71"/>
      <c r="J2" s="71"/>
      <c r="K2" s="71"/>
      <c r="L2" s="71"/>
      <c r="M2" s="71"/>
      <c r="N2" s="71"/>
      <c r="O2" s="71"/>
    </row>
    <row r="3" spans="1:16" ht="29.25" customHeight="1">
      <c r="A3" s="6"/>
      <c r="B3" s="6"/>
      <c r="C3" s="6"/>
      <c r="D3" s="7"/>
      <c r="E3" s="7"/>
      <c r="F3" s="7"/>
      <c r="G3" s="7"/>
      <c r="H3" s="7"/>
      <c r="I3" s="7"/>
      <c r="J3" s="7"/>
      <c r="K3" s="7"/>
      <c r="L3" s="7"/>
      <c r="M3" s="8"/>
      <c r="N3" s="8"/>
      <c r="O3" s="9" t="s">
        <v>2</v>
      </c>
    </row>
    <row r="4" spans="1:16" ht="18" customHeight="1">
      <c r="A4" s="6"/>
      <c r="B4" s="6"/>
      <c r="C4" s="6"/>
      <c r="D4" s="7"/>
      <c r="E4" s="7"/>
      <c r="F4" s="7"/>
      <c r="G4" s="7"/>
      <c r="I4" s="7"/>
      <c r="J4" s="7"/>
      <c r="K4" s="7"/>
      <c r="L4" s="7"/>
      <c r="M4" s="8"/>
      <c r="N4" s="8"/>
      <c r="O4" s="10" t="s">
        <v>3</v>
      </c>
    </row>
    <row r="5" spans="1:16" ht="18.75" customHeight="1">
      <c r="A5" s="6"/>
      <c r="B5" s="6"/>
      <c r="C5" s="6"/>
      <c r="D5" s="7"/>
      <c r="E5" s="7"/>
      <c r="F5" s="7"/>
      <c r="G5" s="7"/>
      <c r="H5" s="7"/>
      <c r="I5" s="7"/>
      <c r="J5" s="7"/>
      <c r="K5" s="7"/>
      <c r="L5" s="7"/>
      <c r="M5" s="8"/>
      <c r="N5" s="8"/>
      <c r="O5" s="1" t="s">
        <v>4</v>
      </c>
    </row>
    <row r="6" spans="1:16" s="1" customFormat="1" ht="21" customHeight="1">
      <c r="A6" s="72"/>
      <c r="B6" s="72"/>
      <c r="C6" s="72"/>
      <c r="D6" s="72"/>
      <c r="E6" s="72"/>
      <c r="F6" s="72"/>
      <c r="G6" s="72"/>
      <c r="H6" s="72"/>
      <c r="I6" s="72"/>
      <c r="J6" s="72"/>
      <c r="K6" s="72"/>
      <c r="L6" s="72"/>
      <c r="M6" s="72"/>
      <c r="N6" s="11"/>
      <c r="O6" s="1" t="s">
        <v>5</v>
      </c>
      <c r="P6" s="12"/>
    </row>
    <row r="7" spans="1:16" s="2" customFormat="1" ht="24.95" customHeight="1">
      <c r="A7" s="13" t="s">
        <v>6</v>
      </c>
      <c r="B7" s="73" t="s">
        <v>7</v>
      </c>
      <c r="C7" s="74"/>
      <c r="D7" s="75"/>
      <c r="E7" s="15"/>
      <c r="F7" s="15" t="s">
        <v>8</v>
      </c>
      <c r="G7" s="15" t="s">
        <v>9</v>
      </c>
      <c r="H7" s="13" t="s">
        <v>10</v>
      </c>
      <c r="I7" s="13" t="s">
        <v>11</v>
      </c>
      <c r="J7" s="13" t="s">
        <v>12</v>
      </c>
      <c r="K7" s="13" t="s">
        <v>13</v>
      </c>
      <c r="L7" s="16" t="s">
        <v>14</v>
      </c>
      <c r="M7" s="13" t="s">
        <v>15</v>
      </c>
      <c r="N7" s="17" t="s">
        <v>16</v>
      </c>
      <c r="O7" s="14" t="s">
        <v>17</v>
      </c>
      <c r="P7" s="13" t="s">
        <v>18</v>
      </c>
    </row>
    <row r="8" spans="1:16" ht="57.75" hidden="1" customHeight="1">
      <c r="A8" s="81" t="e">
        <f>1+#REF!</f>
        <v>#REF!</v>
      </c>
      <c r="B8" s="76" t="s">
        <v>19</v>
      </c>
      <c r="C8" s="77"/>
      <c r="D8" s="18" t="s">
        <v>20</v>
      </c>
      <c r="E8" s="19" t="s">
        <v>21</v>
      </c>
      <c r="F8" s="20"/>
      <c r="G8" s="21" t="s">
        <v>22</v>
      </c>
      <c r="H8" s="22" t="s">
        <v>23</v>
      </c>
      <c r="I8" s="23">
        <v>0.3</v>
      </c>
      <c r="J8" s="23"/>
      <c r="K8" s="23"/>
      <c r="L8" s="22"/>
      <c r="M8" s="24">
        <v>43585</v>
      </c>
      <c r="N8" s="25"/>
      <c r="O8" s="26"/>
      <c r="P8" s="2"/>
    </row>
    <row r="9" spans="1:16" ht="44.25" hidden="1" customHeight="1">
      <c r="A9" s="82"/>
      <c r="B9" s="27" t="s">
        <v>24</v>
      </c>
      <c r="C9" s="28" t="s">
        <v>25</v>
      </c>
      <c r="D9" s="29"/>
      <c r="E9" s="19" t="s">
        <v>21</v>
      </c>
      <c r="F9" s="20"/>
      <c r="G9" s="21" t="s">
        <v>26</v>
      </c>
      <c r="H9" s="22"/>
      <c r="I9" s="22"/>
      <c r="J9" s="22"/>
      <c r="K9" s="22"/>
      <c r="L9" s="22"/>
      <c r="M9" s="30"/>
      <c r="N9" s="31"/>
      <c r="O9" s="26"/>
      <c r="P9" s="2"/>
    </row>
    <row r="10" spans="1:16" ht="30.75" hidden="1" customHeight="1">
      <c r="A10" s="82"/>
      <c r="B10" s="27" t="s">
        <v>24</v>
      </c>
      <c r="C10" s="28" t="s">
        <v>27</v>
      </c>
      <c r="D10" s="29" t="s">
        <v>28</v>
      </c>
      <c r="E10" s="19" t="s">
        <v>21</v>
      </c>
      <c r="F10" s="20"/>
      <c r="G10" s="32"/>
      <c r="H10" s="22"/>
      <c r="I10" s="22"/>
      <c r="J10" s="22"/>
      <c r="K10" s="22"/>
      <c r="L10" s="22"/>
      <c r="M10" s="30"/>
      <c r="N10" s="31"/>
      <c r="O10" s="26"/>
      <c r="P10" s="2"/>
    </row>
    <row r="11" spans="1:16" ht="18" hidden="1" customHeight="1">
      <c r="A11" s="82"/>
      <c r="B11" s="27" t="s">
        <v>24</v>
      </c>
      <c r="C11" s="28" t="s">
        <v>29</v>
      </c>
      <c r="D11" s="29"/>
      <c r="E11" s="33"/>
      <c r="F11" s="34"/>
      <c r="G11" s="35"/>
      <c r="H11" s="22"/>
      <c r="I11" s="22"/>
      <c r="J11" s="22"/>
      <c r="K11" s="22"/>
      <c r="L11" s="22"/>
      <c r="M11" s="30"/>
      <c r="N11" s="31"/>
      <c r="O11" s="26"/>
      <c r="P11" s="2"/>
    </row>
    <row r="12" spans="1:16" ht="18" hidden="1" customHeight="1">
      <c r="A12" s="82"/>
      <c r="B12" s="27" t="s">
        <v>24</v>
      </c>
      <c r="C12" s="28" t="s">
        <v>30</v>
      </c>
      <c r="D12" s="29"/>
      <c r="E12" s="33"/>
      <c r="F12" s="34"/>
      <c r="G12" s="35"/>
      <c r="H12" s="22"/>
      <c r="I12" s="22"/>
      <c r="J12" s="22"/>
      <c r="K12" s="22"/>
      <c r="L12" s="22"/>
      <c r="M12" s="30"/>
      <c r="N12" s="31"/>
      <c r="O12" s="26"/>
      <c r="P12" s="2"/>
    </row>
    <row r="13" spans="1:16" ht="18" hidden="1" customHeight="1">
      <c r="A13" s="82"/>
      <c r="B13" s="27" t="s">
        <v>24</v>
      </c>
      <c r="C13" s="28" t="s">
        <v>31</v>
      </c>
      <c r="D13" s="29"/>
      <c r="E13" s="33"/>
      <c r="F13" s="34"/>
      <c r="G13" s="35"/>
      <c r="H13" s="22"/>
      <c r="I13" s="22"/>
      <c r="J13" s="22"/>
      <c r="K13" s="22"/>
      <c r="L13" s="22"/>
      <c r="M13" s="30"/>
      <c r="N13" s="31"/>
      <c r="O13" s="26"/>
      <c r="P13" s="2"/>
    </row>
    <row r="14" spans="1:16" ht="18" hidden="1" customHeight="1">
      <c r="A14" s="82"/>
      <c r="B14" s="27" t="s">
        <v>24</v>
      </c>
      <c r="C14" s="28" t="s">
        <v>32</v>
      </c>
      <c r="D14" s="29"/>
      <c r="E14" s="33"/>
      <c r="F14" s="34"/>
      <c r="G14" s="35"/>
      <c r="H14" s="22"/>
      <c r="I14" s="22"/>
      <c r="J14" s="22"/>
      <c r="K14" s="22"/>
      <c r="L14" s="22"/>
      <c r="M14" s="30"/>
      <c r="N14" s="31"/>
      <c r="O14" s="26"/>
      <c r="P14" s="2"/>
    </row>
    <row r="15" spans="1:16" ht="18" hidden="1" customHeight="1">
      <c r="A15" s="83"/>
      <c r="B15" s="36" t="s">
        <v>24</v>
      </c>
      <c r="C15" s="37" t="s">
        <v>33</v>
      </c>
      <c r="D15" s="38"/>
      <c r="E15" s="39"/>
      <c r="F15" s="40"/>
      <c r="G15" s="41"/>
      <c r="H15" s="42"/>
      <c r="I15" s="42"/>
      <c r="J15" s="42"/>
      <c r="K15" s="42"/>
      <c r="L15" s="42"/>
      <c r="M15" s="43"/>
      <c r="N15" s="44"/>
      <c r="O15" s="45"/>
      <c r="P15" s="2"/>
    </row>
    <row r="16" spans="1:16" ht="13.15" hidden="1" customHeight="1">
      <c r="A16" s="81" t="e">
        <f t="shared" ref="A16" si="0">1+A8</f>
        <v>#REF!</v>
      </c>
      <c r="B16" s="76" t="s">
        <v>19</v>
      </c>
      <c r="C16" s="77"/>
      <c r="D16" s="18" t="s">
        <v>34</v>
      </c>
      <c r="E16" s="19" t="s">
        <v>21</v>
      </c>
      <c r="F16" s="20"/>
      <c r="G16" s="21" t="s">
        <v>35</v>
      </c>
      <c r="H16" s="22" t="s">
        <v>23</v>
      </c>
      <c r="I16" s="22"/>
      <c r="J16" s="22"/>
      <c r="K16" s="22"/>
      <c r="L16" s="22"/>
      <c r="M16" s="30"/>
      <c r="N16" s="31"/>
      <c r="O16" s="26"/>
      <c r="P16" s="2"/>
    </row>
    <row r="17" spans="1:16" ht="24.95" hidden="1" customHeight="1">
      <c r="A17" s="82"/>
      <c r="B17" s="27" t="s">
        <v>24</v>
      </c>
      <c r="C17" s="28" t="s">
        <v>25</v>
      </c>
      <c r="D17" s="29"/>
      <c r="E17" s="19" t="s">
        <v>21</v>
      </c>
      <c r="F17" s="20"/>
      <c r="G17" s="21"/>
      <c r="H17" s="22"/>
      <c r="I17" s="22"/>
      <c r="J17" s="22"/>
      <c r="K17" s="22"/>
      <c r="L17" s="22"/>
      <c r="M17" s="30"/>
      <c r="N17" s="31"/>
      <c r="O17" s="26"/>
      <c r="P17" s="2"/>
    </row>
    <row r="18" spans="1:16" ht="24.95" hidden="1" customHeight="1">
      <c r="A18" s="82"/>
      <c r="B18" s="27" t="s">
        <v>24</v>
      </c>
      <c r="C18" s="28" t="s">
        <v>27</v>
      </c>
      <c r="D18" s="29" t="s">
        <v>28</v>
      </c>
      <c r="E18" s="19" t="s">
        <v>21</v>
      </c>
      <c r="F18" s="20"/>
      <c r="G18" s="32"/>
      <c r="H18" s="22"/>
      <c r="I18" s="22"/>
      <c r="J18" s="22"/>
      <c r="K18" s="22"/>
      <c r="L18" s="22"/>
      <c r="M18" s="30"/>
      <c r="N18" s="31"/>
      <c r="O18" s="26"/>
      <c r="P18" s="2"/>
    </row>
    <row r="19" spans="1:16" ht="24.95" hidden="1" customHeight="1">
      <c r="A19" s="82"/>
      <c r="B19" s="27" t="s">
        <v>24</v>
      </c>
      <c r="C19" s="28" t="s">
        <v>29</v>
      </c>
      <c r="D19" s="29"/>
      <c r="E19" s="33"/>
      <c r="F19" s="34"/>
      <c r="G19" s="35"/>
      <c r="H19" s="22"/>
      <c r="I19" s="22"/>
      <c r="J19" s="22"/>
      <c r="K19" s="22"/>
      <c r="L19" s="22"/>
      <c r="M19" s="30"/>
      <c r="N19" s="31"/>
      <c r="O19" s="26"/>
      <c r="P19" s="2"/>
    </row>
    <row r="20" spans="1:16" ht="24.95" hidden="1" customHeight="1">
      <c r="A20" s="82"/>
      <c r="B20" s="27" t="s">
        <v>24</v>
      </c>
      <c r="C20" s="28" t="s">
        <v>30</v>
      </c>
      <c r="D20" s="29"/>
      <c r="E20" s="33"/>
      <c r="F20" s="34"/>
      <c r="G20" s="35"/>
      <c r="H20" s="22"/>
      <c r="I20" s="22"/>
      <c r="J20" s="22"/>
      <c r="K20" s="22"/>
      <c r="L20" s="22"/>
      <c r="M20" s="30"/>
      <c r="N20" s="31"/>
      <c r="O20" s="26"/>
      <c r="P20" s="2"/>
    </row>
    <row r="21" spans="1:16" ht="24.95" hidden="1" customHeight="1">
      <c r="A21" s="82"/>
      <c r="B21" s="27" t="s">
        <v>24</v>
      </c>
      <c r="C21" s="28" t="s">
        <v>31</v>
      </c>
      <c r="D21" s="29"/>
      <c r="E21" s="33"/>
      <c r="F21" s="34"/>
      <c r="G21" s="35"/>
      <c r="H21" s="22"/>
      <c r="I21" s="22"/>
      <c r="J21" s="22"/>
      <c r="K21" s="22"/>
      <c r="L21" s="22"/>
      <c r="M21" s="30"/>
      <c r="N21" s="31"/>
      <c r="O21" s="26"/>
      <c r="P21" s="2"/>
    </row>
    <row r="22" spans="1:16" ht="24.95" hidden="1" customHeight="1">
      <c r="A22" s="82"/>
      <c r="B22" s="27" t="s">
        <v>24</v>
      </c>
      <c r="C22" s="28" t="s">
        <v>32</v>
      </c>
      <c r="D22" s="29"/>
      <c r="E22" s="33"/>
      <c r="F22" s="34"/>
      <c r="G22" s="35"/>
      <c r="H22" s="22"/>
      <c r="I22" s="22"/>
      <c r="J22" s="22"/>
      <c r="K22" s="22"/>
      <c r="L22" s="22"/>
      <c r="M22" s="30"/>
      <c r="N22" s="31"/>
      <c r="O22" s="26"/>
      <c r="P22" s="2"/>
    </row>
    <row r="23" spans="1:16" ht="24.95" hidden="1" customHeight="1">
      <c r="A23" s="83"/>
      <c r="B23" s="36" t="s">
        <v>24</v>
      </c>
      <c r="C23" s="37" t="s">
        <v>33</v>
      </c>
      <c r="D23" s="38"/>
      <c r="E23" s="39"/>
      <c r="F23" s="40"/>
      <c r="G23" s="41"/>
      <c r="H23" s="42"/>
      <c r="I23" s="42"/>
      <c r="J23" s="42"/>
      <c r="K23" s="42"/>
      <c r="L23" s="42"/>
      <c r="M23" s="43"/>
      <c r="N23" s="44"/>
      <c r="O23" s="45"/>
      <c r="P23" s="2"/>
    </row>
    <row r="24" spans="1:16" ht="24.95" hidden="1" customHeight="1">
      <c r="A24" s="81" t="e">
        <f t="shared" ref="A24" si="1">1+A16</f>
        <v>#REF!</v>
      </c>
      <c r="B24" s="76" t="s">
        <v>19</v>
      </c>
      <c r="C24" s="77"/>
      <c r="D24" s="18" t="s">
        <v>36</v>
      </c>
      <c r="E24" s="19" t="s">
        <v>21</v>
      </c>
      <c r="F24" s="20"/>
      <c r="G24" s="21" t="s">
        <v>37</v>
      </c>
      <c r="H24" s="22"/>
      <c r="I24" s="23">
        <v>0.05</v>
      </c>
      <c r="J24" s="23"/>
      <c r="K24" s="23"/>
      <c r="L24" s="22"/>
      <c r="M24" s="30"/>
      <c r="N24" s="31"/>
      <c r="O24" s="26"/>
      <c r="P24" s="2"/>
    </row>
    <row r="25" spans="1:16" ht="24.95" hidden="1" customHeight="1">
      <c r="A25" s="82"/>
      <c r="B25" s="27" t="s">
        <v>24</v>
      </c>
      <c r="C25" s="28" t="s">
        <v>25</v>
      </c>
      <c r="D25" s="29"/>
      <c r="E25" s="19" t="s">
        <v>21</v>
      </c>
      <c r="F25" s="20"/>
      <c r="G25" s="21" t="s">
        <v>38</v>
      </c>
      <c r="H25" s="22"/>
      <c r="I25" s="23">
        <v>0.05</v>
      </c>
      <c r="J25" s="23"/>
      <c r="K25" s="23"/>
      <c r="L25" s="22"/>
      <c r="M25" s="30"/>
      <c r="N25" s="31"/>
      <c r="O25" s="26"/>
      <c r="P25" s="2"/>
    </row>
    <row r="26" spans="1:16" ht="24.95" hidden="1" customHeight="1">
      <c r="A26" s="82"/>
      <c r="B26" s="27" t="s">
        <v>24</v>
      </c>
      <c r="C26" s="28" t="s">
        <v>27</v>
      </c>
      <c r="D26" s="29" t="s">
        <v>28</v>
      </c>
      <c r="E26" s="46" t="s">
        <v>21</v>
      </c>
      <c r="F26" s="47"/>
      <c r="G26" s="48"/>
      <c r="H26" s="49"/>
      <c r="I26" s="49"/>
      <c r="J26" s="49"/>
      <c r="K26" s="49"/>
      <c r="L26" s="49"/>
      <c r="M26" s="50"/>
      <c r="N26" s="51"/>
      <c r="O26" s="52"/>
      <c r="P26" s="2"/>
    </row>
    <row r="27" spans="1:16" ht="24.95" hidden="1" customHeight="1">
      <c r="A27" s="82"/>
      <c r="B27" s="27" t="s">
        <v>24</v>
      </c>
      <c r="C27" s="28" t="s">
        <v>29</v>
      </c>
      <c r="D27" s="29"/>
      <c r="E27" s="53"/>
      <c r="F27" s="54"/>
      <c r="G27" s="55"/>
      <c r="H27" s="49"/>
      <c r="I27" s="49"/>
      <c r="J27" s="49"/>
      <c r="K27" s="49"/>
      <c r="L27" s="49"/>
      <c r="M27" s="50"/>
      <c r="N27" s="51"/>
      <c r="O27" s="52"/>
      <c r="P27" s="2"/>
    </row>
    <row r="28" spans="1:16" ht="24.95" hidden="1" customHeight="1">
      <c r="A28" s="82"/>
      <c r="B28" s="27" t="s">
        <v>24</v>
      </c>
      <c r="C28" s="28" t="s">
        <v>30</v>
      </c>
      <c r="D28" s="29"/>
      <c r="E28" s="53"/>
      <c r="F28" s="54"/>
      <c r="G28" s="55"/>
      <c r="H28" s="49"/>
      <c r="I28" s="49"/>
      <c r="J28" s="49"/>
      <c r="K28" s="49"/>
      <c r="L28" s="49"/>
      <c r="M28" s="50"/>
      <c r="N28" s="51"/>
      <c r="O28" s="52"/>
      <c r="P28" s="2"/>
    </row>
    <row r="29" spans="1:16" ht="24.95" hidden="1" customHeight="1">
      <c r="A29" s="82"/>
      <c r="B29" s="27" t="s">
        <v>24</v>
      </c>
      <c r="C29" s="28" t="s">
        <v>31</v>
      </c>
      <c r="D29" s="29"/>
      <c r="E29" s="53"/>
      <c r="F29" s="54"/>
      <c r="G29" s="55"/>
      <c r="H29" s="49"/>
      <c r="I29" s="49"/>
      <c r="J29" s="49"/>
      <c r="K29" s="49"/>
      <c r="L29" s="49"/>
      <c r="M29" s="50"/>
      <c r="N29" s="51"/>
      <c r="O29" s="52"/>
      <c r="P29" s="2"/>
    </row>
    <row r="30" spans="1:16" ht="24.95" hidden="1" customHeight="1">
      <c r="A30" s="82"/>
      <c r="B30" s="27" t="s">
        <v>24</v>
      </c>
      <c r="C30" s="28" t="s">
        <v>32</v>
      </c>
      <c r="D30" s="29"/>
      <c r="E30" s="53"/>
      <c r="F30" s="54"/>
      <c r="G30" s="55"/>
      <c r="H30" s="49"/>
      <c r="I30" s="49"/>
      <c r="J30" s="49"/>
      <c r="K30" s="49"/>
      <c r="L30" s="49"/>
      <c r="M30" s="50"/>
      <c r="N30" s="51"/>
      <c r="O30" s="52"/>
      <c r="P30" s="2"/>
    </row>
    <row r="31" spans="1:16" ht="24.95" hidden="1" customHeight="1">
      <c r="A31" s="83"/>
      <c r="B31" s="27" t="s">
        <v>24</v>
      </c>
      <c r="C31" s="28" t="s">
        <v>33</v>
      </c>
      <c r="D31" s="56"/>
      <c r="E31" s="53"/>
      <c r="F31" s="54"/>
      <c r="G31" s="55"/>
      <c r="H31" s="49"/>
      <c r="I31" s="49"/>
      <c r="J31" s="49"/>
      <c r="K31" s="49"/>
      <c r="L31" s="49"/>
      <c r="M31" s="50"/>
      <c r="N31" s="51"/>
      <c r="O31" s="52"/>
      <c r="P31" s="2"/>
    </row>
    <row r="32" spans="1:16" ht="294" customHeight="1">
      <c r="A32" s="57">
        <v>1</v>
      </c>
      <c r="B32" s="78" t="s">
        <v>43</v>
      </c>
      <c r="C32" s="79"/>
      <c r="D32" s="80"/>
      <c r="E32" s="58">
        <v>1</v>
      </c>
      <c r="F32" s="59" t="s">
        <v>39</v>
      </c>
      <c r="G32" s="60" t="s">
        <v>45</v>
      </c>
      <c r="H32" s="58" t="s">
        <v>40</v>
      </c>
      <c r="I32" s="61">
        <v>1</v>
      </c>
      <c r="J32" s="62">
        <v>46293</v>
      </c>
      <c r="K32" s="62">
        <v>46293</v>
      </c>
      <c r="L32" s="62">
        <v>46298</v>
      </c>
      <c r="M32" s="62">
        <v>46298</v>
      </c>
      <c r="N32" s="63"/>
      <c r="O32" s="64"/>
      <c r="P32" s="65" t="s">
        <v>41</v>
      </c>
    </row>
    <row r="33" spans="1:16" ht="12.75">
      <c r="A33" s="84">
        <v>2</v>
      </c>
      <c r="B33" s="84" t="s">
        <v>44</v>
      </c>
      <c r="C33" s="84"/>
      <c r="D33" s="84"/>
      <c r="E33" s="85">
        <v>1</v>
      </c>
      <c r="F33" s="87" t="s">
        <v>39</v>
      </c>
      <c r="G33" s="88" t="s">
        <v>46</v>
      </c>
      <c r="H33" s="66" t="s">
        <v>40</v>
      </c>
      <c r="I33" s="90">
        <v>0</v>
      </c>
      <c r="J33" s="92">
        <v>46300</v>
      </c>
      <c r="K33" s="92">
        <v>46300</v>
      </c>
      <c r="L33" s="92">
        <v>46275</v>
      </c>
      <c r="M33" s="92">
        <v>46275</v>
      </c>
      <c r="N33" s="63"/>
      <c r="O33" s="64"/>
      <c r="P33" s="65" t="s">
        <v>42</v>
      </c>
    </row>
    <row r="34" spans="1:16" ht="179.1" customHeight="1">
      <c r="A34" s="84"/>
      <c r="B34" s="84"/>
      <c r="C34" s="84"/>
      <c r="D34" s="84"/>
      <c r="E34" s="86"/>
      <c r="F34" s="87"/>
      <c r="G34" s="89"/>
      <c r="H34" s="67"/>
      <c r="I34" s="91"/>
      <c r="J34" s="93"/>
      <c r="K34" s="93"/>
      <c r="L34" s="93"/>
      <c r="M34" s="93"/>
      <c r="N34" s="63"/>
      <c r="O34" s="64"/>
      <c r="P34" s="65"/>
    </row>
    <row r="35" spans="1:16" ht="23.25" customHeight="1">
      <c r="A35" s="2"/>
      <c r="B35" s="2"/>
      <c r="C35" s="2"/>
      <c r="E35" s="68"/>
      <c r="F35" s="2"/>
      <c r="G35" s="2"/>
      <c r="H35" s="2"/>
      <c r="J35" s="2"/>
      <c r="K35" s="2"/>
      <c r="L35" s="2"/>
      <c r="M35" s="2"/>
      <c r="N35" s="2"/>
      <c r="O35" s="2"/>
      <c r="P35" s="2"/>
    </row>
    <row r="36" spans="1:16" ht="28.5" customHeight="1">
      <c r="A36" s="2"/>
      <c r="B36" s="2"/>
      <c r="C36" s="2"/>
      <c r="E36" s="2"/>
      <c r="F36" s="2"/>
      <c r="G36" s="2"/>
      <c r="H36" s="2"/>
      <c r="I36" s="2"/>
      <c r="J36" s="2"/>
      <c r="K36" s="2"/>
      <c r="L36" s="2"/>
      <c r="M36" s="2"/>
      <c r="N36" s="2"/>
      <c r="O36" s="2"/>
      <c r="P36" s="2"/>
    </row>
    <row r="37" spans="1:16" ht="23.25" customHeight="1">
      <c r="A37" s="2"/>
      <c r="B37" s="2"/>
      <c r="C37" s="2"/>
      <c r="E37" s="2"/>
      <c r="F37" s="2"/>
      <c r="G37" s="2"/>
      <c r="H37" s="2"/>
      <c r="J37" s="2"/>
      <c r="K37" s="2"/>
      <c r="L37" s="2"/>
      <c r="M37" s="2"/>
      <c r="N37" s="2"/>
      <c r="O37" s="2"/>
      <c r="P37" s="2"/>
    </row>
    <row r="38" spans="1:16" ht="31.5" customHeight="1">
      <c r="A38" s="2"/>
      <c r="B38" s="2"/>
      <c r="C38" s="2"/>
      <c r="E38" s="2"/>
      <c r="F38" s="2"/>
    </row>
    <row r="39" spans="1:16" ht="24.95" customHeight="1">
      <c r="A39" s="2"/>
      <c r="B39" s="2"/>
      <c r="C39" s="2"/>
      <c r="E39" s="2"/>
      <c r="F39" s="2"/>
    </row>
    <row r="40" spans="1:16" ht="24.95" customHeight="1">
      <c r="A40" s="2"/>
      <c r="B40" s="2"/>
      <c r="C40" s="2"/>
      <c r="E40" s="2"/>
      <c r="F40" s="2"/>
    </row>
  </sheetData>
  <autoFilter ref="A7:O34" xr:uid="{00000000-0009-0000-0000-000000000000}"/>
  <mergeCells count="22">
    <mergeCell ref="J33:J34"/>
    <mergeCell ref="K33:K34"/>
    <mergeCell ref="L33:L34"/>
    <mergeCell ref="M33:M34"/>
    <mergeCell ref="B33:D34"/>
    <mergeCell ref="A33:A34"/>
    <mergeCell ref="E33:E34"/>
    <mergeCell ref="F33:F34"/>
    <mergeCell ref="G33:G34"/>
    <mergeCell ref="I33:I34"/>
    <mergeCell ref="B8:C8"/>
    <mergeCell ref="B16:C16"/>
    <mergeCell ref="B24:C24"/>
    <mergeCell ref="B32:D32"/>
    <mergeCell ref="A8:A15"/>
    <mergeCell ref="A16:A23"/>
    <mergeCell ref="A24:A31"/>
    <mergeCell ref="A1:C1"/>
    <mergeCell ref="D1:O1"/>
    <mergeCell ref="D2:O2"/>
    <mergeCell ref="A6:M6"/>
    <mergeCell ref="B7:D7"/>
  </mergeCells>
  <hyperlinks>
    <hyperlink ref="P33" r:id="rId1" xr:uid="{00000000-0004-0000-0000-000000000000}"/>
    <hyperlink ref="P32" r:id="rId2" xr:uid="{00000000-0004-0000-0000-000001000000}"/>
  </hyperlinks>
  <printOptions horizontalCentered="1"/>
  <pageMargins left="0.59055118110236204" right="0.59055118110236204" top="0.59055118110236204" bottom="0.59055118110236204" header="0.196850393700787" footer="0.196850393700787"/>
  <pageSetup paperSize="9" scale="44" fitToHeight="0" orientation="landscape"/>
  <headerFooter>
    <oddHeader>&amp;L&amp;"+,Italic"&amp;8&amp;K7030A0WEEKLY REPORT</oddHeader>
    <oddFooter>&amp;R&amp;"+,Italic"&amp;8&amp;K7030A0Page &amp;P of &amp;N</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B0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C+nWazvwAAAB0BAAATAAAARm9ybXVsYXMvU2VjdGlvbjEubV2PQQuCQBCF74L/YdguCiJ4lk5Sxw4ZdIgOq00prjuxO1Ih/vfWloqay8CbN9+bsVhzSxpK37M8DMLANtLgCXayUpjBEhRyGICrkgZTo1NW9xpVWgzGoOY9ma4i6qJ4PGxkj0vhN8VxOhSk2VmOiQcsRNFIfZnhjysKR3pZ052R2p7J9AWpodfz0EY+LRlH4dVMJMBuAox3nqb4w1y3inG+eEs3+4WWqNxXsxb95SaAsm6AzYBxGLT6fdwvKH8C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ALAgAAW0NvbnRlbnRfVHlwZXNdLnhtbFBLAQIUAAoAAAAAAIdO4kAAAAAAAAAAAAAAAAAHAAAAAAAAAAAAEAAAAAAAAABDb25maWcvUEsBAhQAFAAAAAgAh07iQBI4/pifAAAA8wAAABIAAAAAAAAAAQAgAAAAJQAAAENvbmZpZy9QYWNrYWdlLnhtbFBLAQIUAAoAAAAAAIdO4kAAAAAAAAAAAAAAAAAJAAAAAAAAAAAAEAAAAPQAAABGb3JtdWxhcy9QSwECFAAUAAAACACHTuJAvp1ms78AAAAdAQAAEwAAAAAAAAABACAAAAAbAQAARm9ybXVsYXMvU2VjdGlvbjEubVBLBQYAAAAABQAFAC4BAADZ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pwMAAAAAAACFAw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PEVudHJ5IFR5cGU9IlF1ZXJ5SUQiIFZhbHVlPSJzOWYyOWNhNzgtZDFiMi00NDJmLTkzOGMtYTBkZWMyZGM4ZmYxIiAvPjxFbnRyeSBUeXBlPSJSZXN1bHRUeXBlIiBWYWx1ZT0ic1RhYmxlIiAvPjxFbnRyeSBUeXBlPSJGaWxsQ291bnQiIFZhbHVlPSJsMSIgLz48RW50cnkgVHlwZT0iRmlsbEVycm9yQ291bnQiIFZhbHVlPSJsMCIgLz48RW50cnkgVHlwZT0iRmlsbExhc3RVcGRhdGVkIiBWYWx1ZT0iZDIwMjQtMDUtMjJUMDc6MTI6MzYuODU2MDAwMFoiIC8+PEVudHJ5IFR5cGU9IkZpbGxDb2x1bW5OYW1lcyIgVmFsdWU9J3NbJnF1b3Q7Q29sdW1uMSZxdW90O10nIC8+PC9TdGFibGVFbnRyaWVzPjwvSXRlbT48L0l0ZW1zPjwvTG9jYWxQYWNrYWdlTWV0YWRhdGFGaWxlPhYAAABQSwUGAAAAAAAAAAAAAAAAAAAAAAAAJgEAAAEAAADQjJ3fARXREYx6AMBPwpfrAQAAAEdETNZX/KhEiiBDUklWhCYAAAAAAgAAAAAAEGYAAAABAAAgAAAAIcKDYzxVsWDSa9zGm+NfcnGo5UO0WHm5chOFgTymQokAAAAADoAAAAACAAAgAAAA0+S3KwCY3jEISOXXghLH3qHjDIdOyaoXz6EIwRbzIIlQAAAABvwVEt00C0P5Dp4zxVFiOoXoKlXhQG5+xuJerjVNzWaL7WXtNA3CfrmKdY+lmTJs+p8TyDalAZpcrVF9F1lWgr+q+PWH5kVHqpNjZtG+C4BAAAAAiR+h8eAINlNGVvZdIPrr/9DwqL5EgHpFXLIAxDbu2KHA6GGKw0rD0EWJg7rw2Up7AyVwwCqR/xDvYkMJdlZDRA==</DataMashup>
</file>

<file path=customXml/itemProps1.xml><?xml version="1.0" encoding="utf-8"?>
<ds:datastoreItem xmlns:ds="http://schemas.openxmlformats.org/officeDocument/2006/customXml" ds:itemID="{D51427FA-BCAD-423E-A8A5-5D59994229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Weekly Report</vt:lpstr>
      <vt:lpstr>'Weekly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Quý Đạt Hoàng</cp:lastModifiedBy>
  <dcterms:created xsi:type="dcterms:W3CDTF">2024-05-23T01:26:00Z</dcterms:created>
  <dcterms:modified xsi:type="dcterms:W3CDTF">2026-10-05T04:38:54Z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1344F5FA0D20346457D6626A481D9028_42</vt:lpwstr>
  </property>
  <property fmtid="{D5CDD505-2E9C-101B-9397-08002B2CF9AE}" pid="3" name="KSOProductBuildVer">
    <vt:lpwstr>1033-12.1.0.28485</vt:lpwstr>
  </property>
  <property fmtid="{D5CDD505-2E9C-101B-9397-08002B2CF9AE}" pid="4" name="CalculationRule">
    <vt:i4>0</vt:i4>
  </property>
</Properties>
</file>