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420" windowHeight="15860" tabRatio="348"/>
  </bookViews>
  <sheets>
    <sheet name="Weekly Report" sheetId="7" r:id="rId1"/>
  </sheets>
  <definedNames>
    <definedName name="_xlnm._FilterDatabase" localSheetId="0" hidden="1">'Weekly Report'!$A$7:$O$34</definedName>
    <definedName name="_xlnm.Print_Titles" localSheetId="0">'Weekly Report'!$7:$7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<sst xmlns="http://schemas.openxmlformats.org/spreadsheetml/2006/main" count="96" uniqueCount="47">
  <si>
    <r>
      <rPr>
        <b/>
        <sz val="12"/>
        <color rgb="FF002060"/>
        <rFont val="Times New Roman"/>
        <charset val="134"/>
      </rPr>
      <t xml:space="preserve">CÔNG TY CỔ PHẦN ĐẦU TƯ CÔNG NGHỆ </t>
    </r>
    <r>
      <rPr>
        <b/>
        <sz val="12"/>
        <color rgb="FFFF0000"/>
        <rFont val="Times New Roman"/>
        <charset val="134"/>
      </rPr>
      <t>THIÊN ÂN</t>
    </r>
    <r>
      <rPr>
        <b/>
        <sz val="12"/>
        <color rgb="FF002060"/>
        <rFont val="Times New Roman"/>
        <charset val="134"/>
      </rPr>
      <t xml:space="preserve">
</t>
    </r>
  </si>
  <si>
    <r>
      <rPr>
        <b/>
        <sz val="14"/>
        <rFont val="Times New Roman"/>
        <charset val="134"/>
      </rPr>
      <t xml:space="preserve">EMPLOYEE NAME - WEEKLY REPORT </t>
    </r>
    <r>
      <rPr>
        <b/>
        <sz val="14"/>
        <color rgb="FF0000FF"/>
        <rFont val="Times New Roman"/>
        <charset val="134"/>
      </rPr>
      <t>OF THE DEPLOY DEPARTMENT</t>
    </r>
  </si>
  <si>
    <t>Thời gian: 
26.03.30 - 26.04.04</t>
  </si>
  <si>
    <t>Chú thích:</t>
  </si>
  <si>
    <r>
      <rPr>
        <i/>
        <sz val="10"/>
        <color rgb="FFFF0000"/>
        <rFont val="Times New Roman"/>
        <charset val="134"/>
      </rPr>
      <t>"Đỏ"</t>
    </r>
    <r>
      <rPr>
        <i/>
        <sz val="10"/>
        <color rgb="FF0000FF"/>
        <rFont val="Times New Roman"/>
        <charset val="134"/>
      </rPr>
      <t xml:space="preserve"> - </t>
    </r>
    <r>
      <rPr>
        <i/>
        <sz val="10"/>
        <color theme="1"/>
        <rFont val="Times New Roman"/>
        <charset val="134"/>
      </rPr>
      <t>thời gian deadline dự kiến</t>
    </r>
  </si>
  <si>
    <r>
      <rPr>
        <i/>
        <sz val="10"/>
        <color rgb="FF0000FF"/>
        <rFont val="Times New Roman"/>
        <charset val="134"/>
      </rPr>
      <t>"Xanh dương"</t>
    </r>
    <r>
      <rPr>
        <i/>
        <sz val="10"/>
        <color theme="1"/>
        <rFont val="Times New Roman"/>
        <charset val="134"/>
      </rPr>
      <t xml:space="preserve"> - Công việc đã hoàn thành</t>
    </r>
  </si>
  <si>
    <t>N.o</t>
  </si>
  <si>
    <t>Informations of project</t>
  </si>
  <si>
    <t>Project</t>
  </si>
  <si>
    <t>Task name</t>
  </si>
  <si>
    <t>Assignment</t>
  </si>
  <si>
    <t>% complete</t>
  </si>
  <si>
    <t>Assign Day</t>
  </si>
  <si>
    <t>Start Day</t>
  </si>
  <si>
    <t>Expected day</t>
  </si>
  <si>
    <t>Finish day</t>
  </si>
  <si>
    <t>Status</t>
  </si>
  <si>
    <t>Note</t>
  </si>
  <si>
    <t>Base</t>
  </si>
  <si>
    <t>Project  name</t>
  </si>
  <si>
    <t>Cầu Đồng Nai (DNC)</t>
  </si>
  <si>
    <t xml:space="preserve"> - </t>
  </si>
  <si>
    <t>Xây dựng chương trình đồng bộ dữ liệu thu phí MTC đến TCĐB:
1. Xây dựng tài liệu
2. Xây dựng phần mềm
3. Kiểm thử phần mềm</t>
  </si>
  <si>
    <t>QA, Sơn</t>
  </si>
  <si>
    <t xml:space="preserve"> -</t>
  </si>
  <si>
    <t>Section:</t>
  </si>
  <si>
    <t>Cập nhật các tính năng soát vé làn miễn phí:
1. Thay thế I/O Box cũ bằng PLC S7-1200
2. Áp dụng soát vé tháng</t>
  </si>
  <si>
    <t>Project  manager:</t>
  </si>
  <si>
    <t>Tống Thanh Thương</t>
  </si>
  <si>
    <t>Investor/ Client:</t>
  </si>
  <si>
    <t>Contract:</t>
  </si>
  <si>
    <t>Appendix of contract:</t>
  </si>
  <si>
    <t>Time of deployment:</t>
  </si>
  <si>
    <t>Deadline:</t>
  </si>
  <si>
    <t>TTP Cà Ná</t>
  </si>
  <si>
    <t>Xây dựng chương trình đồng bộ dữ liệu thu phí MTC đến TCĐB</t>
  </si>
  <si>
    <t>TTP DT 741</t>
  </si>
  <si>
    <t>Thêm 1 báo cáo thống kê  thống kê thẻ trừ dần</t>
  </si>
  <si>
    <t>Hỗ trợ kiểm tra số tiền trừ không khớp thực tế</t>
  </si>
  <si>
    <t>Công việc trong tuần: 
26.10.19 - 26.10.24</t>
  </si>
  <si>
    <t>ITS010</t>
  </si>
  <si>
    <t>Phân hệ Chia sẻ Dữ liệu (ShareData - ESHARE):
- Quản lý câu lệnh truy vấn mẫu và câu truy vấn tùy biến riêng theo từng đối tác; xây dựng cơ chế so sánh đối chiếu (Diff/Compare) trực quan hai phiên bản khi mẫu gốc thay đổi.
- Chuẩn hóa quy trình phân tích cú pháp câu lệnh truy vấn để tự động trích xuất danh sách trường dữ liệu; xử lý đồng bộ các trường hợp lệch cột (thiếu trường, dư trường) giữa mẫu chung và mẫu riêng đối tác.
- Tối ưu giao diện quản lý gói tin theo đối tác (thu gọn khung truy vấn, mở rộng danh sách trường, nhận diện trực quan nguồn mẫu chung / mẫu riêng) và hoàn thiện cơ chế khóa nối đuôi chuỗi kết hợp (@LastKey) chống trùng lặp mốc thời gian theo góp ý review của Tech Lead.</t>
  </si>
  <si>
    <t>Đạt</t>
  </si>
  <si>
    <t>https://wework.base.vn/mytasks?task=9981714</t>
  </si>
  <si>
    <t>Công việc trong tuần tiếp theo: 
26.10.26 - 26.10.31</t>
  </si>
  <si>
    <t>Phân hệ Chia sẻ Dữ liệu (ShareData):
- Tiếp tục hoàn thiện và kiểm thử cơ chế quét dữ liệu nối đuôi nâng cao và các biến tham số hệ thống theo góp ý từ Tech Lead review.
- Phối hợp kiểm thử tích hợp toàn trình luồng trích xuất dữ liệu động và gửi nhận với đối tác trên môi trường nội bộ.
- Xây dựng và hoàn thiện tài liệu hướng dẫn cấu hình truy vấn động và nghiệm thu chức năng phân hệ.</t>
  </si>
  <si>
    <t>https://wework.base.vn/mytasks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</si>
</sst>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7">
    <font>
      <sz val="10"/>
      <color rgb="FF000000"/>
      <name val="Arial"/>
      <charset val="134"/>
    </font>
    <font>
      <i/>
      <sz val="10"/>
      <color rgb="FF0000FF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b/>
      <sz val="14"/>
      <name val="Times New Roman"/>
      <charset val="134"/>
    </font>
    <font>
      <i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rgb="FF0000FF"/>
      <name val="Times New Roman"/>
      <charset val="134"/>
    </font>
    <font>
      <sz val="10"/>
      <color rgb="FF0000FF"/>
      <name val="Times New Roman"/>
      <charset val="134"/>
    </font>
    <font>
      <sz val="10"/>
      <color rgb="FF3A3A3A"/>
      <name val="Times New Roman"/>
      <charset val="134"/>
    </font>
    <font>
      <u/>
      <sz val="10"/>
      <color theme="10"/>
      <name val="Arial"/>
      <charset val="134"/>
    </font>
    <font>
      <sz val="11"/>
      <color rgb="FF0000FF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Arial"/>
      <charset val="134"/>
    </font>
    <font>
      <b/>
      <sz val="12"/>
      <color rgb="FF002060"/>
      <name val="Times New Roman"/>
      <charset val="134"/>
    </font>
    <font>
      <b/>
      <sz val="12"/>
      <color rgb="FFFF0000"/>
      <name val="Times New Roman"/>
      <charset val="134"/>
    </font>
    <font>
      <b/>
      <sz val="14"/>
      <color rgb="FF0000FF"/>
      <name val="Times New Roman"/>
      <charset val="134"/>
    </font>
    <font>
      <i/>
      <sz val="10"/>
      <color rgb="FFFF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3" fillId="5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20" applyNumberFormat="0" applyAlignment="0" applyProtection="0">
      <alignment vertical="center"/>
    </xf>
    <xf numFmtId="0" fontId="22" fillId="7" borderId="21" applyNumberFormat="0" applyAlignment="0" applyProtection="0">
      <alignment vertical="center"/>
    </xf>
    <xf numFmtId="0" fontId="23" fillId="7" borderId="20" applyNumberFormat="0" applyAlignment="0" applyProtection="0">
      <alignment vertical="center"/>
    </xf>
    <xf numFmtId="0" fontId="24" fillId="8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0" fillId="0" borderId="0"/>
    <xf numFmtId="0" fontId="32" fillId="0" borderId="0"/>
  </cellStyleXfs>
  <cellXfs count="89">
    <xf numFmtId="0" fontId="0" fillId="0" borderId="0" xfId="0"/>
    <xf numFmtId="0" fontId="1" fillId="0" borderId="0" xfId="53" applyFont="1" applyAlignment="1">
      <alignment horizontal="left" vertical="top" wrapText="1"/>
    </xf>
    <xf numFmtId="0" fontId="2" fillId="0" borderId="0" xfId="53" applyFont="1" applyAlignment="1">
      <alignment horizontal="center" vertical="center" wrapText="1"/>
    </xf>
    <xf numFmtId="0" fontId="2" fillId="0" borderId="0" xfId="53" applyFont="1" applyAlignment="1">
      <alignment horizontal="left" vertical="center" wrapText="1"/>
    </xf>
    <xf numFmtId="0" fontId="3" fillId="0" borderId="0" xfId="53" applyFont="1" applyAlignment="1">
      <alignment horizontal="left" vertical="center" wrapText="1"/>
    </xf>
    <xf numFmtId="0" fontId="3" fillId="0" borderId="0" xfId="53" applyFont="1" applyAlignment="1">
      <alignment horizontal="center" vertical="center" wrapText="1"/>
    </xf>
    <xf numFmtId="0" fontId="3" fillId="2" borderId="0" xfId="53" applyFont="1" applyFill="1" applyAlignment="1">
      <alignment horizontal="center" vertical="center" wrapText="1"/>
    </xf>
    <xf numFmtId="0" fontId="4" fillId="2" borderId="1" xfId="53" applyFont="1" applyFill="1" applyBorder="1" applyAlignment="1">
      <alignment horizontal="center" vertical="top" wrapText="1"/>
    </xf>
    <xf numFmtId="0" fontId="5" fillId="2" borderId="2" xfId="53" applyFont="1" applyFill="1" applyBorder="1" applyAlignment="1">
      <alignment horizontal="center" wrapText="1"/>
    </xf>
    <xf numFmtId="0" fontId="5" fillId="2" borderId="0" xfId="53" applyFont="1" applyFill="1" applyAlignment="1">
      <alignment horizontal="center" wrapText="1"/>
    </xf>
    <xf numFmtId="0" fontId="5" fillId="2" borderId="0" xfId="53" applyFont="1" applyFill="1" applyAlignment="1">
      <alignment horizontal="center" vertical="center" wrapText="1"/>
    </xf>
    <xf numFmtId="0" fontId="6" fillId="2" borderId="0" xfId="53" applyFont="1" applyFill="1" applyAlignment="1">
      <alignment horizontal="left" vertical="top" wrapText="1"/>
    </xf>
    <xf numFmtId="0" fontId="7" fillId="2" borderId="0" xfId="53" applyFont="1" applyFill="1" applyAlignment="1">
      <alignment horizontal="left" vertical="top" wrapText="1"/>
    </xf>
    <xf numFmtId="0" fontId="1" fillId="2" borderId="0" xfId="53" applyFont="1" applyFill="1" applyAlignment="1">
      <alignment horizontal="right" vertical="top" wrapText="1"/>
    </xf>
    <xf numFmtId="0" fontId="1" fillId="0" borderId="0" xfId="53" applyFont="1" applyAlignment="1">
      <alignment horizontal="center" vertical="top" wrapText="1"/>
    </xf>
    <xf numFmtId="0" fontId="2" fillId="3" borderId="3" xfId="53" applyFont="1" applyFill="1" applyBorder="1" applyAlignment="1">
      <alignment horizontal="center" vertical="center" wrapText="1"/>
    </xf>
    <xf numFmtId="0" fontId="2" fillId="3" borderId="4" xfId="53" applyFont="1" applyFill="1" applyBorder="1" applyAlignment="1">
      <alignment horizontal="center" vertical="center" wrapText="1"/>
    </xf>
    <xf numFmtId="0" fontId="2" fillId="3" borderId="5" xfId="53" applyFont="1" applyFill="1" applyBorder="1" applyAlignment="1">
      <alignment horizontal="center" vertical="center" wrapText="1"/>
    </xf>
    <xf numFmtId="0" fontId="2" fillId="3" borderId="6" xfId="53" applyFont="1" applyFill="1" applyBorder="1" applyAlignment="1">
      <alignment horizontal="center" vertical="center" wrapText="1"/>
    </xf>
    <xf numFmtId="0" fontId="2" fillId="3" borderId="3" xfId="53" applyFont="1" applyFill="1" applyBorder="1" applyAlignment="1">
      <alignment vertical="center" wrapText="1"/>
    </xf>
    <xf numFmtId="0" fontId="2" fillId="4" borderId="3" xfId="53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7" xfId="53" applyFont="1" applyFill="1" applyBorder="1" applyAlignment="1">
      <alignment horizontal="center" vertical="top" wrapText="1"/>
    </xf>
    <xf numFmtId="0" fontId="2" fillId="2" borderId="8" xfId="53" applyFont="1" applyFill="1" applyBorder="1" applyAlignment="1">
      <alignment horizontal="left" vertical="top" wrapText="1"/>
    </xf>
    <xf numFmtId="0" fontId="2" fillId="2" borderId="9" xfId="53" applyFont="1" applyFill="1" applyBorder="1" applyAlignment="1">
      <alignment horizontal="left" vertical="top" wrapText="1"/>
    </xf>
    <xf numFmtId="0" fontId="8" fillId="2" borderId="9" xfId="53" applyFont="1" applyFill="1" applyBorder="1" applyAlignment="1">
      <alignment horizontal="left" vertical="top" wrapText="1"/>
    </xf>
    <xf numFmtId="0" fontId="9" fillId="2" borderId="4" xfId="53" applyFont="1" applyFill="1" applyBorder="1" applyAlignment="1">
      <alignment horizontal="right" vertical="top" wrapText="1"/>
    </xf>
    <xf numFmtId="0" fontId="9" fillId="2" borderId="5" xfId="53" applyFont="1" applyFill="1" applyBorder="1" applyAlignment="1">
      <alignment horizontal="right" vertical="top" wrapText="1"/>
    </xf>
    <xf numFmtId="0" fontId="9" fillId="2" borderId="6" xfId="53" applyFont="1" applyFill="1" applyBorder="1" applyAlignment="1">
      <alignment horizontal="left" vertical="top" wrapText="1"/>
    </xf>
    <xf numFmtId="0" fontId="9" fillId="2" borderId="3" xfId="53" applyFont="1" applyFill="1" applyBorder="1" applyAlignment="1">
      <alignment vertical="top"/>
    </xf>
    <xf numFmtId="9" fontId="9" fillId="2" borderId="3" xfId="53" applyNumberFormat="1" applyFont="1" applyFill="1" applyBorder="1" applyAlignment="1">
      <alignment vertical="top"/>
    </xf>
    <xf numFmtId="58" fontId="9" fillId="2" borderId="3" xfId="53" applyNumberFormat="1" applyFont="1" applyFill="1" applyBorder="1" applyAlignment="1">
      <alignment vertical="center"/>
    </xf>
    <xf numFmtId="58" fontId="9" fillId="2" borderId="6" xfId="53" applyNumberFormat="1" applyFont="1" applyFill="1" applyBorder="1" applyAlignment="1">
      <alignment vertical="center"/>
    </xf>
    <xf numFmtId="0" fontId="9" fillId="2" borderId="6" xfId="53" applyFont="1" applyFill="1" applyBorder="1" applyAlignment="1">
      <alignment horizontal="center" vertical="top" wrapText="1"/>
    </xf>
    <xf numFmtId="0" fontId="2" fillId="2" borderId="10" xfId="53" applyFont="1" applyFill="1" applyBorder="1" applyAlignment="1">
      <alignment horizontal="center" vertical="top" wrapText="1"/>
    </xf>
    <xf numFmtId="0" fontId="3" fillId="2" borderId="11" xfId="53" applyFont="1" applyFill="1" applyBorder="1" applyAlignment="1">
      <alignment horizontal="right" vertical="top" wrapText="1"/>
    </xf>
    <xf numFmtId="0" fontId="3" fillId="2" borderId="0" xfId="53" applyFont="1" applyFill="1" applyAlignment="1">
      <alignment vertical="top" wrapText="1"/>
    </xf>
    <xf numFmtId="0" fontId="9" fillId="2" borderId="0" xfId="53" applyFont="1" applyFill="1" applyAlignment="1">
      <alignment horizontal="left" vertical="top" wrapText="1"/>
    </xf>
    <xf numFmtId="0" fontId="9" fillId="2" borderId="3" xfId="53" applyFont="1" applyFill="1" applyBorder="1" applyAlignment="1">
      <alignment vertical="center"/>
    </xf>
    <xf numFmtId="0" fontId="9" fillId="2" borderId="6" xfId="53" applyFont="1" applyFill="1" applyBorder="1" applyAlignment="1">
      <alignment vertical="center"/>
    </xf>
    <xf numFmtId="0" fontId="9" fillId="2" borderId="6" xfId="53" applyFont="1" applyFill="1" applyBorder="1" applyAlignment="1">
      <alignment vertical="top" wrapText="1"/>
    </xf>
    <xf numFmtId="0" fontId="9" fillId="2" borderId="4" xfId="53" applyFont="1" applyFill="1" applyBorder="1" applyAlignment="1">
      <alignment vertical="top"/>
    </xf>
    <xf numFmtId="0" fontId="9" fillId="2" borderId="5" xfId="53" applyFont="1" applyFill="1" applyBorder="1" applyAlignment="1">
      <alignment vertical="top"/>
    </xf>
    <xf numFmtId="0" fontId="9" fillId="2" borderId="6" xfId="53" applyFont="1" applyFill="1" applyBorder="1" applyAlignment="1">
      <alignment vertical="top"/>
    </xf>
    <xf numFmtId="0" fontId="2" fillId="2" borderId="12" xfId="53" applyFont="1" applyFill="1" applyBorder="1" applyAlignment="1">
      <alignment horizontal="center" vertical="top" wrapText="1"/>
    </xf>
    <xf numFmtId="0" fontId="3" fillId="2" borderId="13" xfId="53" applyFont="1" applyFill="1" applyBorder="1" applyAlignment="1">
      <alignment horizontal="right" vertical="top" wrapText="1"/>
    </xf>
    <xf numFmtId="0" fontId="3" fillId="2" borderId="14" xfId="53" applyFont="1" applyFill="1" applyBorder="1" applyAlignment="1">
      <alignment vertical="top" wrapText="1"/>
    </xf>
    <xf numFmtId="58" fontId="9" fillId="0" borderId="14" xfId="53" applyNumberFormat="1" applyFont="1" applyBorder="1" applyAlignment="1">
      <alignment horizontal="left" vertical="top" wrapText="1"/>
    </xf>
    <xf numFmtId="0" fontId="9" fillId="2" borderId="13" xfId="53" applyFont="1" applyFill="1" applyBorder="1" applyAlignment="1">
      <alignment vertical="top"/>
    </xf>
    <xf numFmtId="0" fontId="9" fillId="2" borderId="14" xfId="53" applyFont="1" applyFill="1" applyBorder="1" applyAlignment="1">
      <alignment vertical="top"/>
    </xf>
    <xf numFmtId="0" fontId="9" fillId="2" borderId="15" xfId="53" applyFont="1" applyFill="1" applyBorder="1" applyAlignment="1">
      <alignment vertical="top"/>
    </xf>
    <xf numFmtId="0" fontId="9" fillId="2" borderId="12" xfId="53" applyFont="1" applyFill="1" applyBorder="1" applyAlignment="1">
      <alignment vertical="top"/>
    </xf>
    <xf numFmtId="0" fontId="9" fillId="2" borderId="12" xfId="53" applyFont="1" applyFill="1" applyBorder="1" applyAlignment="1">
      <alignment vertical="center"/>
    </xf>
    <xf numFmtId="0" fontId="9" fillId="2" borderId="15" xfId="53" applyFont="1" applyFill="1" applyBorder="1" applyAlignment="1">
      <alignment vertical="center"/>
    </xf>
    <xf numFmtId="0" fontId="9" fillId="2" borderId="15" xfId="53" applyFont="1" applyFill="1" applyBorder="1" applyAlignment="1">
      <alignment horizontal="center" vertical="top" wrapText="1"/>
    </xf>
    <xf numFmtId="0" fontId="9" fillId="2" borderId="11" xfId="53" applyFont="1" applyFill="1" applyBorder="1" applyAlignment="1">
      <alignment horizontal="right" vertical="top" wrapText="1"/>
    </xf>
    <xf numFmtId="0" fontId="9" fillId="2" borderId="0" xfId="53" applyFont="1" applyFill="1" applyAlignment="1">
      <alignment horizontal="right" vertical="top" wrapText="1"/>
    </xf>
    <xf numFmtId="0" fontId="9" fillId="2" borderId="16" xfId="53" applyFont="1" applyFill="1" applyBorder="1" applyAlignment="1">
      <alignment vertical="top" wrapText="1"/>
    </xf>
    <xf numFmtId="0" fontId="9" fillId="2" borderId="10" xfId="53" applyFont="1" applyFill="1" applyBorder="1" applyAlignment="1">
      <alignment vertical="top"/>
    </xf>
    <xf numFmtId="0" fontId="9" fillId="2" borderId="10" xfId="53" applyFont="1" applyFill="1" applyBorder="1" applyAlignment="1">
      <alignment vertical="center"/>
    </xf>
    <xf numFmtId="0" fontId="9" fillId="2" borderId="16" xfId="53" applyFont="1" applyFill="1" applyBorder="1" applyAlignment="1">
      <alignment vertical="center"/>
    </xf>
    <xf numFmtId="0" fontId="9" fillId="2" borderId="16" xfId="53" applyFont="1" applyFill="1" applyBorder="1" applyAlignment="1">
      <alignment horizontal="center" vertical="top" wrapText="1"/>
    </xf>
    <xf numFmtId="0" fontId="9" fillId="2" borderId="11" xfId="53" applyFont="1" applyFill="1" applyBorder="1" applyAlignment="1">
      <alignment vertical="top"/>
    </xf>
    <xf numFmtId="0" fontId="9" fillId="2" borderId="0" xfId="53" applyFont="1" applyFill="1" applyAlignment="1">
      <alignment vertical="top"/>
    </xf>
    <xf numFmtId="0" fontId="9" fillId="2" borderId="16" xfId="53" applyFont="1" applyFill="1" applyBorder="1" applyAlignment="1">
      <alignment vertical="top"/>
    </xf>
    <xf numFmtId="58" fontId="9" fillId="0" borderId="0" xfId="53" applyNumberFormat="1" applyFont="1" applyAlignment="1">
      <alignment horizontal="left" vertical="top" wrapText="1"/>
    </xf>
    <xf numFmtId="0" fontId="2" fillId="2" borderId="7" xfId="53" applyFont="1" applyFill="1" applyBorder="1" applyAlignment="1">
      <alignment horizontal="center" vertical="center" wrapText="1"/>
    </xf>
    <xf numFmtId="0" fontId="2" fillId="2" borderId="11" xfId="53" applyFont="1" applyFill="1" applyBorder="1" applyAlignment="1">
      <alignment horizontal="center" vertical="center" wrapText="1"/>
    </xf>
    <xf numFmtId="0" fontId="2" fillId="2" borderId="0" xfId="53" applyFont="1" applyFill="1" applyAlignment="1">
      <alignment horizontal="center" vertical="center" wrapText="1"/>
    </xf>
    <xf numFmtId="0" fontId="2" fillId="2" borderId="16" xfId="53" applyFont="1" applyFill="1" applyBorder="1" applyAlignment="1">
      <alignment horizontal="center" vertical="center" wrapText="1"/>
    </xf>
    <xf numFmtId="0" fontId="7" fillId="2" borderId="3" xfId="53" applyFont="1" applyFill="1" applyBorder="1" applyAlignment="1">
      <alignment horizontal="center" vertical="center"/>
    </xf>
    <xf numFmtId="0" fontId="3" fillId="0" borderId="7" xfId="53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9" fontId="7" fillId="2" borderId="3" xfId="53" applyNumberFormat="1" applyFont="1" applyFill="1" applyBorder="1" applyAlignment="1">
      <alignment horizontal="center" vertical="center"/>
    </xf>
    <xf numFmtId="58" fontId="7" fillId="2" borderId="3" xfId="53" applyNumberFormat="1" applyFont="1" applyFill="1" applyBorder="1" applyAlignment="1">
      <alignment horizontal="right" vertical="center"/>
    </xf>
    <xf numFmtId="58" fontId="7" fillId="2" borderId="3" xfId="53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1" fillId="0" borderId="3" xfId="6" applyBorder="1" applyAlignment="1">
      <alignment horizontal="center" vertical="center" wrapText="1"/>
    </xf>
    <xf numFmtId="0" fontId="2" fillId="2" borderId="3" xfId="53" applyFont="1" applyFill="1" applyBorder="1" applyAlignment="1">
      <alignment horizontal="center" vertical="center" wrapText="1"/>
    </xf>
    <xf numFmtId="0" fontId="7" fillId="2" borderId="7" xfId="53" applyFont="1" applyFill="1" applyBorder="1" applyAlignment="1">
      <alignment horizontal="center" vertical="center"/>
    </xf>
    <xf numFmtId="0" fontId="3" fillId="0" borderId="3" xfId="53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9" fontId="7" fillId="2" borderId="7" xfId="53" applyNumberFormat="1" applyFont="1" applyFill="1" applyBorder="1" applyAlignment="1">
      <alignment horizontal="center" vertical="center"/>
    </xf>
    <xf numFmtId="58" fontId="7" fillId="2" borderId="7" xfId="53" applyNumberFormat="1" applyFont="1" applyFill="1" applyBorder="1" applyAlignment="1">
      <alignment horizontal="center" vertical="center"/>
    </xf>
    <xf numFmtId="0" fontId="7" fillId="2" borderId="12" xfId="53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top" wrapText="1"/>
    </xf>
    <xf numFmtId="9" fontId="7" fillId="2" borderId="12" xfId="53" applyNumberFormat="1" applyFont="1" applyFill="1" applyBorder="1" applyAlignment="1">
      <alignment horizontal="center" vertical="center"/>
    </xf>
    <xf numFmtId="58" fontId="7" fillId="2" borderId="12" xfId="53" applyNumberFormat="1" applyFont="1" applyFill="1" applyBorder="1" applyAlignment="1">
      <alignment horizontal="center" vertical="center"/>
    </xf>
    <xf numFmtId="0" fontId="12" fillId="0" borderId="0" xfId="53" applyFont="1" applyAlignment="1">
      <alignment horizontal="center" vertical="center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3" xfId="51"/>
    <cellStyle name="Normal 3" xfId="52"/>
    <cellStyle name="Normal 4" xfId="53"/>
  </cellStyles>
  <tableStyles count="0" defaultTableStyle="TableStyleMedium2" defaultPivotStyle="PivotStyleLight16"/>
  <colors>
    <mruColors>
      <color rgb="000066FF"/>
      <color rgb="000033CC"/>
      <color rgb="00CCECFF"/>
      <color rgb="003399FF"/>
      <color rgb="00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104776</xdr:colOff>
      <xdr:row>0</xdr:row>
      <xdr:rowOff>9526</xdr:rowOff>
    </xdr:from>
    <xdr:to>
      <xdr:col>2</xdr:col>
      <xdr:colOff>910590</xdr:colOff>
      <xdr:row>3</xdr:row>
      <xdr:rowOff>116458</xdr:rowOff>
    </xdr:to>
    <xdr:pic>
      <xdr:nvPicPr>
        <xdr:cNvPr id="2" name="Picture 2" descr="logo1.png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17" t="6360" r="7387" b="4601"/>
        <a:stretch>
          <a:fillRect/>
        </a:stretch>
      </xdr:blipFill>
      <xdr:spPr>
        <a:xfrm>
          <a:off x="104775" y="9525"/>
          <a:ext cx="1323975" cy="96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work.base.vn/mytasks?task=9788161" TargetMode="External"/><Relationship Id="rId2" Type="http://schemas.openxmlformats.org/officeDocument/2006/relationships/hyperlink" Target="https://wework.base.vn/mytasks?task=9981714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0"/>
  <sheetViews>
    <sheetView tabSelected="1" zoomScale="99" zoomScaleNormal="99" workbookViewId="0">
      <pane xSplit="13" ySplit="7" topLeftCell="N32" activePane="bottomRight" state="frozen"/>
      <selection/>
      <selection pane="topRight"/>
      <selection pane="bottomLeft"/>
      <selection pane="bottomRight" activeCell="H5" sqref="H5"/>
    </sheetView>
  </sheetViews>
  <sheetFormatPr defaultColWidth="9.14285714285714" defaultRowHeight="24.95" customHeight="1"/>
  <cols>
    <col min="1" max="1" width="4.14285714285714" style="3" customWidth="1"/>
    <col min="2" max="2" width="3.14285714285714" style="4" customWidth="1"/>
    <col min="3" max="3" width="16.7142857142857" style="4" customWidth="1"/>
    <col min="4" max="4" width="1.71428571428571" style="4" customWidth="1"/>
    <col min="5" max="5" width="4.71428571428571" style="4" customWidth="1"/>
    <col min="6" max="6" width="15.5714285714286" style="4" customWidth="1"/>
    <col min="7" max="7" width="48.8571428571429" style="4" customWidth="1"/>
    <col min="8" max="8" width="12.2857142857143" style="4" customWidth="1"/>
    <col min="9" max="9" width="18.5714285714286" style="4" customWidth="1"/>
    <col min="10" max="10" width="16.2857142857143" style="4" customWidth="1"/>
    <col min="11" max="11" width="17.4285714285714" style="4" customWidth="1"/>
    <col min="12" max="12" width="18.8571428571429" style="4" customWidth="1"/>
    <col min="13" max="13" width="19.7142857142857" style="4" customWidth="1"/>
    <col min="14" max="14" width="19.4285714285714" style="4" customWidth="1"/>
    <col min="15" max="15" width="52" style="4" customWidth="1"/>
    <col min="16" max="16" width="42.8571428571429" style="5" customWidth="1"/>
    <col min="17" max="16384" width="9.14285714285714" style="4"/>
  </cols>
  <sheetData>
    <row r="1" ht="20.25" customHeight="1" spans="1:16">
      <c r="A1" s="6"/>
      <c r="B1" s="6"/>
      <c r="C1" s="6"/>
      <c r="D1" s="7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8" customHeight="1" spans="1:16">
      <c r="A2" s="6"/>
      <c r="B2" s="6"/>
      <c r="C2" s="6"/>
      <c r="D2" s="8" t="s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29.25" customHeight="1" spans="1:16">
      <c r="A3" s="6"/>
      <c r="B3" s="6"/>
      <c r="C3" s="6"/>
      <c r="D3" s="9"/>
      <c r="E3" s="9"/>
      <c r="F3" s="9"/>
      <c r="G3" s="9"/>
      <c r="H3" s="9"/>
      <c r="I3" s="9"/>
      <c r="J3" s="9"/>
      <c r="K3" s="9"/>
      <c r="L3" s="9"/>
      <c r="M3" s="10"/>
      <c r="N3" s="10"/>
      <c r="O3" s="11" t="s">
        <v>2</v>
      </c>
    </row>
    <row r="4" ht="18" customHeight="1" spans="1:16">
      <c r="A4" s="6"/>
      <c r="B4" s="6"/>
      <c r="C4" s="6"/>
      <c r="D4" s="9"/>
      <c r="E4" s="9"/>
      <c r="F4" s="9"/>
      <c r="G4" s="9"/>
      <c r="I4" s="9"/>
      <c r="J4" s="9"/>
      <c r="K4" s="9"/>
      <c r="L4" s="9"/>
      <c r="M4" s="10"/>
      <c r="N4" s="10"/>
      <c r="O4" s="12" t="s">
        <v>3</v>
      </c>
    </row>
    <row r="5" ht="18.75" customHeight="1" spans="1:16">
      <c r="A5" s="6"/>
      <c r="B5" s="6"/>
      <c r="C5" s="6"/>
      <c r="D5" s="9"/>
      <c r="E5" s="9"/>
      <c r="F5" s="9"/>
      <c r="G5" s="9"/>
      <c r="H5" s="9"/>
      <c r="I5" s="9"/>
      <c r="J5" s="9"/>
      <c r="K5" s="9"/>
      <c r="L5" s="9"/>
      <c r="M5" s="10"/>
      <c r="N5" s="10"/>
      <c r="O5" s="1" t="s">
        <v>4</v>
      </c>
    </row>
    <row r="6" s="1" customFormat="1" ht="21" customHeight="1" spans="1:1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 t="s">
        <v>5</v>
      </c>
      <c r="P6" s="14"/>
    </row>
    <row r="7" s="2" customFormat="1" customHeight="1" spans="1:16">
      <c r="A7" s="15" t="s">
        <v>6</v>
      </c>
      <c r="B7" s="16" t="s">
        <v>7</v>
      </c>
      <c r="C7" s="17"/>
      <c r="D7" s="18"/>
      <c r="E7" s="19"/>
      <c r="F7" s="19" t="s">
        <v>8</v>
      </c>
      <c r="G7" s="19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20" t="s">
        <v>14</v>
      </c>
      <c r="M7" s="15" t="s">
        <v>15</v>
      </c>
      <c r="N7" s="21" t="s">
        <v>16</v>
      </c>
      <c r="O7" s="18" t="s">
        <v>17</v>
      </c>
      <c r="P7" s="15" t="s">
        <v>18</v>
      </c>
    </row>
    <row r="8" ht="57.75" hidden="1" customHeight="1" spans="1:16">
      <c r="A8" s="22" t="e">
        <f>1+#REF!</f>
        <v>#REF!</v>
      </c>
      <c r="B8" s="23" t="s">
        <v>19</v>
      </c>
      <c r="C8" s="24"/>
      <c r="D8" s="25" t="s">
        <v>20</v>
      </c>
      <c r="E8" s="26" t="s">
        <v>21</v>
      </c>
      <c r="F8" s="27"/>
      <c r="G8" s="28" t="s">
        <v>22</v>
      </c>
      <c r="H8" s="29" t="s">
        <v>23</v>
      </c>
      <c r="I8" s="30">
        <v>0.3</v>
      </c>
      <c r="J8" s="30"/>
      <c r="K8" s="30"/>
      <c r="L8" s="29"/>
      <c r="M8" s="31">
        <v>43585</v>
      </c>
      <c r="N8" s="32"/>
      <c r="O8" s="33"/>
      <c r="P8" s="2"/>
    </row>
    <row r="9" ht="44.25" hidden="1" customHeight="1" spans="1:16">
      <c r="A9" s="34"/>
      <c r="B9" s="35" t="s">
        <v>24</v>
      </c>
      <c r="C9" s="36" t="s">
        <v>25</v>
      </c>
      <c r="D9" s="37"/>
      <c r="E9" s="26" t="s">
        <v>21</v>
      </c>
      <c r="F9" s="27"/>
      <c r="G9" s="28" t="s">
        <v>26</v>
      </c>
      <c r="H9" s="29"/>
      <c r="I9" s="29"/>
      <c r="J9" s="29"/>
      <c r="K9" s="29"/>
      <c r="L9" s="29"/>
      <c r="M9" s="38"/>
      <c r="N9" s="39"/>
      <c r="O9" s="33"/>
      <c r="P9" s="2"/>
    </row>
    <row r="10" ht="30.75" hidden="1" customHeight="1" spans="1:16">
      <c r="A10" s="34"/>
      <c r="B10" s="35" t="s">
        <v>24</v>
      </c>
      <c r="C10" s="36" t="s">
        <v>27</v>
      </c>
      <c r="D10" s="37" t="s">
        <v>28</v>
      </c>
      <c r="E10" s="26" t="s">
        <v>21</v>
      </c>
      <c r="F10" s="27"/>
      <c r="G10" s="40"/>
      <c r="H10" s="29"/>
      <c r="I10" s="29"/>
      <c r="J10" s="29"/>
      <c r="K10" s="29"/>
      <c r="L10" s="29"/>
      <c r="M10" s="38"/>
      <c r="N10" s="39"/>
      <c r="O10" s="33"/>
      <c r="P10" s="2"/>
    </row>
    <row r="11" ht="18" hidden="1" customHeight="1" spans="1:16">
      <c r="A11" s="34"/>
      <c r="B11" s="35" t="s">
        <v>24</v>
      </c>
      <c r="C11" s="36" t="s">
        <v>29</v>
      </c>
      <c r="D11" s="37"/>
      <c r="E11" s="41"/>
      <c r="F11" s="42"/>
      <c r="G11" s="43"/>
      <c r="H11" s="29"/>
      <c r="I11" s="29"/>
      <c r="J11" s="29"/>
      <c r="K11" s="29"/>
      <c r="L11" s="29"/>
      <c r="M11" s="38"/>
      <c r="N11" s="39"/>
      <c r="O11" s="33"/>
      <c r="P11" s="2"/>
    </row>
    <row r="12" ht="18" hidden="1" customHeight="1" spans="1:16">
      <c r="A12" s="34"/>
      <c r="B12" s="35" t="s">
        <v>24</v>
      </c>
      <c r="C12" s="36" t="s">
        <v>30</v>
      </c>
      <c r="D12" s="37"/>
      <c r="E12" s="41"/>
      <c r="F12" s="42"/>
      <c r="G12" s="43"/>
      <c r="H12" s="29"/>
      <c r="I12" s="29"/>
      <c r="J12" s="29"/>
      <c r="K12" s="29"/>
      <c r="L12" s="29"/>
      <c r="M12" s="38"/>
      <c r="N12" s="39"/>
      <c r="O12" s="33"/>
      <c r="P12" s="2"/>
    </row>
    <row r="13" ht="18" hidden="1" customHeight="1" spans="1:16">
      <c r="A13" s="34"/>
      <c r="B13" s="35" t="s">
        <v>24</v>
      </c>
      <c r="C13" s="36" t="s">
        <v>31</v>
      </c>
      <c r="D13" s="37"/>
      <c r="E13" s="41"/>
      <c r="F13" s="42"/>
      <c r="G13" s="43"/>
      <c r="H13" s="29"/>
      <c r="I13" s="29"/>
      <c r="J13" s="29"/>
      <c r="K13" s="29"/>
      <c r="L13" s="29"/>
      <c r="M13" s="38"/>
      <c r="N13" s="39"/>
      <c r="O13" s="33"/>
      <c r="P13" s="2"/>
    </row>
    <row r="14" ht="18" hidden="1" customHeight="1" spans="1:16">
      <c r="A14" s="34"/>
      <c r="B14" s="35" t="s">
        <v>24</v>
      </c>
      <c r="C14" s="36" t="s">
        <v>32</v>
      </c>
      <c r="D14" s="37"/>
      <c r="E14" s="41"/>
      <c r="F14" s="42"/>
      <c r="G14" s="43"/>
      <c r="H14" s="29"/>
      <c r="I14" s="29"/>
      <c r="J14" s="29"/>
      <c r="K14" s="29"/>
      <c r="L14" s="29"/>
      <c r="M14" s="38"/>
      <c r="N14" s="39"/>
      <c r="O14" s="33"/>
      <c r="P14" s="2"/>
    </row>
    <row r="15" ht="18" hidden="1" customHeight="1" spans="1:16">
      <c r="A15" s="44"/>
      <c r="B15" s="45" t="s">
        <v>24</v>
      </c>
      <c r="C15" s="46" t="s">
        <v>33</v>
      </c>
      <c r="D15" s="47"/>
      <c r="E15" s="48"/>
      <c r="F15" s="49"/>
      <c r="G15" s="50"/>
      <c r="H15" s="51"/>
      <c r="I15" s="51"/>
      <c r="J15" s="51"/>
      <c r="K15" s="51"/>
      <c r="L15" s="51"/>
      <c r="M15" s="52"/>
      <c r="N15" s="53"/>
      <c r="O15" s="54"/>
      <c r="P15" s="2"/>
    </row>
    <row r="16" ht="13.15" hidden="1" customHeight="1" spans="1:16">
      <c r="A16" s="22" t="e">
        <f t="shared" ref="A16" si="0">1+A8</f>
        <v>#REF!</v>
      </c>
      <c r="B16" s="23" t="s">
        <v>19</v>
      </c>
      <c r="C16" s="24"/>
      <c r="D16" s="25" t="s">
        <v>34</v>
      </c>
      <c r="E16" s="26" t="s">
        <v>21</v>
      </c>
      <c r="F16" s="27"/>
      <c r="G16" s="28" t="s">
        <v>35</v>
      </c>
      <c r="H16" s="29" t="s">
        <v>23</v>
      </c>
      <c r="I16" s="29"/>
      <c r="J16" s="29"/>
      <c r="K16" s="29"/>
      <c r="L16" s="29"/>
      <c r="M16" s="38"/>
      <c r="N16" s="39"/>
      <c r="O16" s="33"/>
      <c r="P16" s="2"/>
    </row>
    <row r="17" hidden="1" customHeight="1" spans="1:16">
      <c r="A17" s="34"/>
      <c r="B17" s="35" t="s">
        <v>24</v>
      </c>
      <c r="C17" s="36" t="s">
        <v>25</v>
      </c>
      <c r="D17" s="37"/>
      <c r="E17" s="26" t="s">
        <v>21</v>
      </c>
      <c r="F17" s="27"/>
      <c r="G17" s="28"/>
      <c r="H17" s="29"/>
      <c r="I17" s="29"/>
      <c r="J17" s="29"/>
      <c r="K17" s="29"/>
      <c r="L17" s="29"/>
      <c r="M17" s="38"/>
      <c r="N17" s="39"/>
      <c r="O17" s="33"/>
      <c r="P17" s="2"/>
    </row>
    <row r="18" hidden="1" customHeight="1" spans="1:16">
      <c r="A18" s="34"/>
      <c r="B18" s="35" t="s">
        <v>24</v>
      </c>
      <c r="C18" s="36" t="s">
        <v>27</v>
      </c>
      <c r="D18" s="37" t="s">
        <v>28</v>
      </c>
      <c r="E18" s="26" t="s">
        <v>21</v>
      </c>
      <c r="F18" s="27"/>
      <c r="G18" s="40"/>
      <c r="H18" s="29"/>
      <c r="I18" s="29"/>
      <c r="J18" s="29"/>
      <c r="K18" s="29"/>
      <c r="L18" s="29"/>
      <c r="M18" s="38"/>
      <c r="N18" s="39"/>
      <c r="O18" s="33"/>
      <c r="P18" s="2"/>
    </row>
    <row r="19" hidden="1" customHeight="1" spans="1:16">
      <c r="A19" s="34"/>
      <c r="B19" s="35" t="s">
        <v>24</v>
      </c>
      <c r="C19" s="36" t="s">
        <v>29</v>
      </c>
      <c r="D19" s="37"/>
      <c r="E19" s="41"/>
      <c r="F19" s="42"/>
      <c r="G19" s="43"/>
      <c r="H19" s="29"/>
      <c r="I19" s="29"/>
      <c r="J19" s="29"/>
      <c r="K19" s="29"/>
      <c r="L19" s="29"/>
      <c r="M19" s="38"/>
      <c r="N19" s="39"/>
      <c r="O19" s="33"/>
      <c r="P19" s="2"/>
    </row>
    <row r="20" hidden="1" customHeight="1" spans="1:16">
      <c r="A20" s="34"/>
      <c r="B20" s="35" t="s">
        <v>24</v>
      </c>
      <c r="C20" s="36" t="s">
        <v>30</v>
      </c>
      <c r="D20" s="37"/>
      <c r="E20" s="41"/>
      <c r="F20" s="42"/>
      <c r="G20" s="43"/>
      <c r="H20" s="29"/>
      <c r="I20" s="29"/>
      <c r="J20" s="29"/>
      <c r="K20" s="29"/>
      <c r="L20" s="29"/>
      <c r="M20" s="38"/>
      <c r="N20" s="39"/>
      <c r="O20" s="33"/>
      <c r="P20" s="2"/>
    </row>
    <row r="21" hidden="1" customHeight="1" spans="1:16">
      <c r="A21" s="34"/>
      <c r="B21" s="35" t="s">
        <v>24</v>
      </c>
      <c r="C21" s="36" t="s">
        <v>31</v>
      </c>
      <c r="D21" s="37"/>
      <c r="E21" s="41"/>
      <c r="F21" s="42"/>
      <c r="G21" s="43"/>
      <c r="H21" s="29"/>
      <c r="I21" s="29"/>
      <c r="J21" s="29"/>
      <c r="K21" s="29"/>
      <c r="L21" s="29"/>
      <c r="M21" s="38"/>
      <c r="N21" s="39"/>
      <c r="O21" s="33"/>
      <c r="P21" s="2"/>
    </row>
    <row r="22" hidden="1" customHeight="1" spans="1:16">
      <c r="A22" s="34"/>
      <c r="B22" s="35" t="s">
        <v>24</v>
      </c>
      <c r="C22" s="36" t="s">
        <v>32</v>
      </c>
      <c r="D22" s="37"/>
      <c r="E22" s="41"/>
      <c r="F22" s="42"/>
      <c r="G22" s="43"/>
      <c r="H22" s="29"/>
      <c r="I22" s="29"/>
      <c r="J22" s="29"/>
      <c r="K22" s="29"/>
      <c r="L22" s="29"/>
      <c r="M22" s="38"/>
      <c r="N22" s="39"/>
      <c r="O22" s="33"/>
      <c r="P22" s="2"/>
    </row>
    <row r="23" hidden="1" customHeight="1" spans="1:16">
      <c r="A23" s="44"/>
      <c r="B23" s="45" t="s">
        <v>24</v>
      </c>
      <c r="C23" s="46" t="s">
        <v>33</v>
      </c>
      <c r="D23" s="47"/>
      <c r="E23" s="48"/>
      <c r="F23" s="49"/>
      <c r="G23" s="50"/>
      <c r="H23" s="51"/>
      <c r="I23" s="51"/>
      <c r="J23" s="51"/>
      <c r="K23" s="51"/>
      <c r="L23" s="51"/>
      <c r="M23" s="52"/>
      <c r="N23" s="53"/>
      <c r="O23" s="54"/>
      <c r="P23" s="2"/>
    </row>
    <row r="24" hidden="1" customHeight="1" spans="1:16">
      <c r="A24" s="22" t="e">
        <f t="shared" ref="A24" si="1">1+A16</f>
        <v>#REF!</v>
      </c>
      <c r="B24" s="23" t="s">
        <v>19</v>
      </c>
      <c r="C24" s="24"/>
      <c r="D24" s="25" t="s">
        <v>36</v>
      </c>
      <c r="E24" s="26" t="s">
        <v>21</v>
      </c>
      <c r="F24" s="27"/>
      <c r="G24" s="28" t="s">
        <v>37</v>
      </c>
      <c r="H24" s="29"/>
      <c r="I24" s="30">
        <v>0.05</v>
      </c>
      <c r="J24" s="30"/>
      <c r="K24" s="30"/>
      <c r="L24" s="29"/>
      <c r="M24" s="38"/>
      <c r="N24" s="39"/>
      <c r="O24" s="33"/>
      <c r="P24" s="2"/>
    </row>
    <row r="25" hidden="1" customHeight="1" spans="1:16">
      <c r="A25" s="34"/>
      <c r="B25" s="35" t="s">
        <v>24</v>
      </c>
      <c r="C25" s="36" t="s">
        <v>25</v>
      </c>
      <c r="D25" s="37"/>
      <c r="E25" s="26" t="s">
        <v>21</v>
      </c>
      <c r="F25" s="27"/>
      <c r="G25" s="28" t="s">
        <v>38</v>
      </c>
      <c r="H25" s="29"/>
      <c r="I25" s="30">
        <v>0.05</v>
      </c>
      <c r="J25" s="30"/>
      <c r="K25" s="30"/>
      <c r="L25" s="29"/>
      <c r="M25" s="38"/>
      <c r="N25" s="39"/>
      <c r="O25" s="33"/>
      <c r="P25" s="2"/>
    </row>
    <row r="26" hidden="1" customHeight="1" spans="1:16">
      <c r="A26" s="34"/>
      <c r="B26" s="35" t="s">
        <v>24</v>
      </c>
      <c r="C26" s="36" t="s">
        <v>27</v>
      </c>
      <c r="D26" s="37" t="s">
        <v>28</v>
      </c>
      <c r="E26" s="55" t="s">
        <v>21</v>
      </c>
      <c r="F26" s="56"/>
      <c r="G26" s="57"/>
      <c r="H26" s="58"/>
      <c r="I26" s="58"/>
      <c r="J26" s="58"/>
      <c r="K26" s="58"/>
      <c r="L26" s="58"/>
      <c r="M26" s="59"/>
      <c r="N26" s="60"/>
      <c r="O26" s="61"/>
      <c r="P26" s="2"/>
    </row>
    <row r="27" hidden="1" customHeight="1" spans="1:16">
      <c r="A27" s="34"/>
      <c r="B27" s="35" t="s">
        <v>24</v>
      </c>
      <c r="C27" s="36" t="s">
        <v>29</v>
      </c>
      <c r="D27" s="37"/>
      <c r="E27" s="62"/>
      <c r="F27" s="63"/>
      <c r="G27" s="64"/>
      <c r="H27" s="58"/>
      <c r="I27" s="58"/>
      <c r="J27" s="58"/>
      <c r="K27" s="58"/>
      <c r="L27" s="58"/>
      <c r="M27" s="59"/>
      <c r="N27" s="60"/>
      <c r="O27" s="61"/>
      <c r="P27" s="2"/>
    </row>
    <row r="28" hidden="1" customHeight="1" spans="1:16">
      <c r="A28" s="34"/>
      <c r="B28" s="35" t="s">
        <v>24</v>
      </c>
      <c r="C28" s="36" t="s">
        <v>30</v>
      </c>
      <c r="D28" s="37"/>
      <c r="E28" s="62"/>
      <c r="F28" s="63"/>
      <c r="G28" s="64"/>
      <c r="H28" s="58"/>
      <c r="I28" s="58"/>
      <c r="J28" s="58"/>
      <c r="K28" s="58"/>
      <c r="L28" s="58"/>
      <c r="M28" s="59"/>
      <c r="N28" s="60"/>
      <c r="O28" s="61"/>
      <c r="P28" s="2"/>
    </row>
    <row r="29" hidden="1" customHeight="1" spans="1:16">
      <c r="A29" s="34"/>
      <c r="B29" s="35" t="s">
        <v>24</v>
      </c>
      <c r="C29" s="36" t="s">
        <v>31</v>
      </c>
      <c r="D29" s="37"/>
      <c r="E29" s="62"/>
      <c r="F29" s="63"/>
      <c r="G29" s="64"/>
      <c r="H29" s="58"/>
      <c r="I29" s="58"/>
      <c r="J29" s="58"/>
      <c r="K29" s="58"/>
      <c r="L29" s="58"/>
      <c r="M29" s="59"/>
      <c r="N29" s="60"/>
      <c r="O29" s="61"/>
      <c r="P29" s="2"/>
    </row>
    <row r="30" hidden="1" customHeight="1" spans="1:16">
      <c r="A30" s="34"/>
      <c r="B30" s="35" t="s">
        <v>24</v>
      </c>
      <c r="C30" s="36" t="s">
        <v>32</v>
      </c>
      <c r="D30" s="37"/>
      <c r="E30" s="62"/>
      <c r="F30" s="63"/>
      <c r="G30" s="64"/>
      <c r="H30" s="58"/>
      <c r="I30" s="58"/>
      <c r="J30" s="58"/>
      <c r="K30" s="58"/>
      <c r="L30" s="58"/>
      <c r="M30" s="59"/>
      <c r="N30" s="60"/>
      <c r="O30" s="61"/>
      <c r="P30" s="2"/>
    </row>
    <row r="31" hidden="1" customHeight="1" spans="1:16">
      <c r="A31" s="44"/>
      <c r="B31" s="35" t="s">
        <v>24</v>
      </c>
      <c r="C31" s="36" t="s">
        <v>33</v>
      </c>
      <c r="D31" s="65"/>
      <c r="E31" s="62"/>
      <c r="F31" s="63"/>
      <c r="G31" s="64"/>
      <c r="H31" s="58"/>
      <c r="I31" s="58"/>
      <c r="J31" s="58"/>
      <c r="K31" s="58"/>
      <c r="L31" s="58"/>
      <c r="M31" s="59"/>
      <c r="N31" s="60"/>
      <c r="O31" s="61"/>
      <c r="P31" s="2"/>
    </row>
    <row r="32" ht="210" customHeight="1" spans="1:16">
      <c r="A32" s="66">
        <v>1</v>
      </c>
      <c r="B32" s="67" t="s">
        <v>39</v>
      </c>
      <c r="C32" s="68"/>
      <c r="D32" s="69"/>
      <c r="E32" s="70">
        <v>1</v>
      </c>
      <c r="F32" s="71" t="s">
        <v>40</v>
      </c>
      <c r="G32" s="72" t="s">
        <v>41</v>
      </c>
      <c r="H32" s="70" t="s">
        <v>42</v>
      </c>
      <c r="I32" s="73">
        <v>0.8</v>
      </c>
      <c r="J32" s="74">
        <v>46314</v>
      </c>
      <c r="K32" s="74">
        <v>46314</v>
      </c>
      <c r="L32" s="74">
        <v>46319</v>
      </c>
      <c r="M32" s="74">
        <v>46319</v>
      </c>
      <c r="N32" s="75"/>
      <c r="O32" s="76"/>
      <c r="P32" s="77" t="s">
        <v>43</v>
      </c>
    </row>
    <row r="33" ht="180" customHeight="1" spans="1:16">
      <c r="A33" s="78">
        <v>2</v>
      </c>
      <c r="B33" s="78" t="s">
        <v>44</v>
      </c>
      <c r="C33" s="78"/>
      <c r="D33" s="78"/>
      <c r="E33" s="79">
        <v>1</v>
      </c>
      <c r="F33" s="80" t="s">
        <v>40</v>
      </c>
      <c r="G33" s="81" t="s">
        <v>45</v>
      </c>
      <c r="H33" s="79" t="s">
        <v>42</v>
      </c>
      <c r="I33" s="82">
        <v>0</v>
      </c>
      <c r="J33" s="83">
        <v>46321</v>
      </c>
      <c r="K33" s="83">
        <v>46321</v>
      </c>
      <c r="L33" s="83">
        <v>46326</v>
      </c>
      <c r="M33" s="83">
        <v>46326</v>
      </c>
      <c r="N33" s="75"/>
      <c r="O33" s="76"/>
      <c r="P33" s="77" t="s">
        <v>46</v>
      </c>
    </row>
    <row r="34" ht="179.1" customHeight="1" spans="1:16">
      <c r="A34" s="78"/>
      <c r="B34" s="78"/>
      <c r="C34" s="78"/>
      <c r="D34" s="78"/>
      <c r="E34" s="84"/>
      <c r="F34" s="80"/>
      <c r="G34" s="85"/>
      <c r="H34" s="84"/>
      <c r="I34" s="86"/>
      <c r="J34" s="87"/>
      <c r="K34" s="87"/>
      <c r="L34" s="87"/>
      <c r="M34" s="87"/>
      <c r="N34" s="75"/>
      <c r="O34" s="76"/>
      <c r="P34" s="77"/>
    </row>
    <row r="35" ht="23.25" customHeight="1" spans="1:16">
      <c r="A35" s="2"/>
      <c r="B35" s="2"/>
      <c r="C35" s="2"/>
      <c r="E35" s="88"/>
      <c r="F35" s="2"/>
      <c r="G35" s="2"/>
      <c r="H35" s="2"/>
      <c r="J35" s="2"/>
      <c r="K35" s="2"/>
      <c r="L35" s="2"/>
      <c r="M35" s="2"/>
      <c r="N35" s="2"/>
      <c r="O35" s="2"/>
      <c r="P35" s="2"/>
    </row>
    <row r="36" ht="28.5" customHeight="1" spans="1:16">
      <c r="A36" s="2"/>
      <c r="B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23.25" customHeight="1" spans="1:16">
      <c r="A37" s="2"/>
      <c r="B37" s="2"/>
      <c r="C37" s="2"/>
      <c r="E37" s="2"/>
      <c r="F37" s="2"/>
      <c r="G37" s="2"/>
      <c r="H37" s="2"/>
      <c r="J37" s="2"/>
      <c r="K37" s="2"/>
      <c r="L37" s="2"/>
      <c r="M37" s="2"/>
      <c r="N37" s="2"/>
      <c r="O37" s="2"/>
      <c r="P37" s="2"/>
    </row>
    <row r="38" ht="31.5" customHeight="1" spans="1:16">
      <c r="A38" s="2"/>
      <c r="B38" s="2"/>
      <c r="C38" s="2"/>
      <c r="E38" s="2"/>
      <c r="F38" s="2"/>
    </row>
    <row r="39" customHeight="1" spans="1:16">
      <c r="A39" s="2"/>
      <c r="B39" s="2"/>
      <c r="C39" s="2"/>
      <c r="E39" s="2"/>
      <c r="F39" s="2"/>
    </row>
    <row r="40" customHeight="1" spans="1:16">
      <c r="A40" s="2"/>
      <c r="B40" s="2"/>
      <c r="C40" s="2"/>
      <c r="E40" s="2"/>
      <c r="F40" s="2"/>
    </row>
  </sheetData>
  <autoFilter xmlns:etc="http://www.wps.cn/officeDocument/2017/etCustomData" ref="A7:O34" etc:filterBottomFollowUsedRange="0">
    <extLst/>
  </autoFilter>
  <mergeCells count="22">
    <mergeCell ref="A1:C1"/>
    <mergeCell ref="D1:O1"/>
    <mergeCell ref="D2:O2"/>
    <mergeCell ref="A6:M6"/>
    <mergeCell ref="B7:D7"/>
    <mergeCell ref="B8:C8"/>
    <mergeCell ref="B16:C16"/>
    <mergeCell ref="B24:C24"/>
    <mergeCell ref="B32:D32"/>
    <mergeCell ref="A8:A15"/>
    <mergeCell ref="A16:A23"/>
    <mergeCell ref="A24:A31"/>
    <mergeCell ref="A33:A34"/>
    <mergeCell ref="E33:E34"/>
    <mergeCell ref="F33:F34"/>
    <mergeCell ref="G33:G34"/>
    <mergeCell ref="I33:I34"/>
    <mergeCell ref="J33:J34"/>
    <mergeCell ref="K33:K34"/>
    <mergeCell ref="L33:L34"/>
    <mergeCell ref="M33:M34"/>
    <mergeCell ref="B33:D34"/>
  </mergeCells>
  <hyperlinks>
    <hyperlink ref="P33" r:id="rId2" display="https://wework.base.vn/mytasks"/>
    <hyperlink ref="P32" r:id="rId3" display="https://wework.base.vn/mytasks?task=9981714"/>
  </hyperlinks>
  <printOptions horizontalCentered="1"/>
  <pageMargins left="0.590551181102362" right="0.590551181102362" top="0.590551181102362" bottom="0.590551181102362" header="0.196850393700787" footer="0.196850393700787"/>
  <pageSetup paperSize="9" scale="44" fitToHeight="0" orientation="landscape"/>
  <headerFooter>
    <oddHeader>&amp;L&amp;"+,Italic"&amp;8&amp;K7030A0WEEKLY REPORT</oddHeader>
    <oddFooter>&amp;R&amp;"+,Italic"&amp;8&amp;K7030A0Page &amp;P of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0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+nWazvwAAAB0BAAATAAAARm9ybXVsYXMvU2VjdGlvbjEubV2PQQuCQBCF74L/YdguCiJ4lk5Sxw4ZdIgOq00prjuxO1Ih/vfWloqay8CbN9+bsVhzSxpK37M8DMLANtLgCXayUpjBEhRyGICrkgZTo1NW9xpVWgzGoOY9ma4i6qJ4PGxkj0vhN8VxOhSk2VmOiQcsRNFIfZnhjysKR3pZ052R2p7J9AWpodfz0EY+LRlH4dVMJMBuAox3nqb4w1y3inG+eEs3+4WWqNxXsxb95SaAsm6AzYBxGLT6fdwvKH8C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AL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vp1ms78AAAAdAQAAEwAAAAAAAAABACAAAAAbAQAARm9ybXVsYXMvU2VjdGlvbjEubVBLBQYAAAAABQAFAC4BAADZ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pwMAAAAAAACFAw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+PEVudHJ5IFR5cGU9IlF1ZXJ5SUQiIFZhbHVlPSJzOWYyOWNhNzgtZDFiMi00NDJmLTkzOGMtYTBkZWMyZGM4ZmYxIiAvPjxFbnRyeSBUeXBlPSJSZXN1bHRUeXBlIiBWYWx1ZT0ic1RhYmxlIiAvPjxFbnRyeSBUeXBlPSJGaWxsQ291bnQiIFZhbHVlPSJsMSIgLz48RW50cnkgVHlwZT0iRmlsbEVycm9yQ291bnQiIFZhbHVlPSJsMCIgLz48RW50cnkgVHlwZT0iRmlsbExhc3RVcGRhdGVkIiBWYWx1ZT0iZDIwMjQtMDUtMjJUMDc6MTI6MzYuODU2MDAwMFoiIC8+PEVudHJ5IFR5cGU9IkZpbGxDb2x1bW5OYW1lcyIgVmFsdWU9J3NbJnF1b3Q7Q29sdW1uMSZxdW90O10nIC8+PC9TdGFibGVFbnRyaWVzPjwvSXRlbT48L0l0ZW1zPjwvTG9jYWxQYWNrYWdlTWV0YWRhdGFGaWxlPhYAAABQSwUGAAAAAAAAAAAAAAAAAAAAAAAAAQAAAAA=</DataMashup>
</file>

<file path=customXml/itemProps1.xml><?xml version="1.0" encoding="utf-8"?>
<ds:datastoreItem xmlns:ds="http://schemas.openxmlformats.org/officeDocument/2006/customXml" ds:itemID="{7900F2B1-FFF1-4362-9EE7-8F2104ADA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dat</cp:lastModifiedBy>
  <dcterms:created xsi:type="dcterms:W3CDTF">2024-05-23T09:26:00Z</dcterms:created>
  <dcterms:modified xsi:type="dcterms:W3CDTF">2026-10-24T08:45:15Z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1344F5FA0D20346457D6626A481D9028_42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