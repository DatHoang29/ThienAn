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D:\TAC\DOC\KPI\202608\"/>
    </mc:Choice>
  </mc:AlternateContent>
  <xr:revisionPtr revIDLastSave="0" documentId="13_ncr:1_{D61D8FE4-9907-476A-8251-83ED518F8F64}" xr6:coauthVersionLast="47" xr6:coauthVersionMax="47" xr10:uidLastSave="{00000000-0000-0000-0000-000000000000}"/>
  <bookViews>
    <workbookView xWindow="-108" yWindow="-108" windowWidth="27096" windowHeight="16296" xr2:uid="{00000000-000D-0000-FFFF-FFFF00000000}"/>
  </bookViews>
  <sheets>
    <sheet name="01. Tổng task" sheetId="1" r:id="rId1"/>
    <sheet name="02. Tổng KPI" sheetId="2" r:id="rId2"/>
    <sheet name="Diễn giải 1" sheetId="3" r:id="rId3"/>
    <sheet name="Diễn giải 2" sheetId="4" r:id="rId4"/>
  </sheets>
  <definedNames>
    <definedName name="Task" localSheetId="3">OFFSET('Diễn giải 2'!$A$4,0,0,COUNTA('Diễn giải 2'!$A:$A)-1)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1" i="4" l="1"/>
  <c r="G10" i="4"/>
  <c r="G9" i="4"/>
  <c r="G8" i="4"/>
  <c r="G7" i="4"/>
  <c r="G6" i="4"/>
  <c r="G5" i="4"/>
  <c r="G4" i="4"/>
  <c r="H63" i="2"/>
  <c r="A63" i="2"/>
  <c r="L40" i="2"/>
  <c r="L39" i="2"/>
  <c r="L38" i="2"/>
  <c r="C38" i="2"/>
  <c r="L37" i="2"/>
  <c r="C37" i="2"/>
  <c r="L36" i="2"/>
  <c r="G22" i="2"/>
  <c r="K21" i="2"/>
  <c r="J21" i="2"/>
  <c r="J22" i="2" s="1"/>
  <c r="K20" i="2"/>
  <c r="J20" i="2"/>
  <c r="K19" i="2"/>
  <c r="J19" i="2"/>
  <c r="K18" i="2"/>
  <c r="J18" i="2"/>
  <c r="B12" i="2" a="1"/>
  <c r="B12" i="2" s="1"/>
  <c r="C8" i="2"/>
  <c r="C6" i="2"/>
  <c r="I20" i="1"/>
  <c r="H20" i="1"/>
  <c r="AE19" i="1"/>
  <c r="AO19" i="1" s="1"/>
  <c r="AD19" i="1"/>
  <c r="AN19" i="1" s="1"/>
  <c r="AC19" i="1"/>
  <c r="AM19" i="1" s="1"/>
  <c r="AB19" i="1"/>
  <c r="AL19" i="1" s="1"/>
  <c r="AA19" i="1"/>
  <c r="AK19" i="1" s="1"/>
  <c r="Z19" i="1"/>
  <c r="AJ19" i="1" s="1"/>
  <c r="Y19" i="1"/>
  <c r="AI19" i="1" s="1"/>
  <c r="X19" i="1"/>
  <c r="AH19" i="1" s="1"/>
  <c r="AE18" i="1"/>
  <c r="AO18" i="1" s="1"/>
  <c r="AD18" i="1"/>
  <c r="AN18" i="1" s="1"/>
  <c r="AC18" i="1"/>
  <c r="AM18" i="1" s="1"/>
  <c r="AB18" i="1"/>
  <c r="AL18" i="1" s="1"/>
  <c r="AA18" i="1"/>
  <c r="Z18" i="1"/>
  <c r="AJ18" i="1" s="1"/>
  <c r="Y18" i="1"/>
  <c r="AI18" i="1" s="1"/>
  <c r="X18" i="1"/>
  <c r="AH18" i="1" s="1"/>
  <c r="AE17" i="1"/>
  <c r="AO17" i="1" s="1"/>
  <c r="AD17" i="1"/>
  <c r="AN17" i="1" s="1"/>
  <c r="AC17" i="1"/>
  <c r="AM17" i="1" s="1"/>
  <c r="AB17" i="1"/>
  <c r="AH17" i="1" s="1"/>
  <c r="AA17" i="1"/>
  <c r="Z17" i="1"/>
  <c r="AJ17" i="1" s="1"/>
  <c r="Y17" i="1"/>
  <c r="X17" i="1"/>
  <c r="AO16" i="1"/>
  <c r="AN16" i="1"/>
  <c r="AM16" i="1"/>
  <c r="AL16" i="1"/>
  <c r="AJ16" i="1"/>
  <c r="AI16" i="1"/>
  <c r="AE16" i="1"/>
  <c r="AD16" i="1"/>
  <c r="AC16" i="1"/>
  <c r="AB16" i="1"/>
  <c r="AA16" i="1"/>
  <c r="AK16" i="1" s="1"/>
  <c r="Z16" i="1"/>
  <c r="Y16" i="1"/>
  <c r="X16" i="1"/>
  <c r="AH16" i="1" s="1"/>
  <c r="AO15" i="1"/>
  <c r="AN15" i="1"/>
  <c r="AM15" i="1"/>
  <c r="AL15" i="1"/>
  <c r="AJ15" i="1"/>
  <c r="AI15" i="1"/>
  <c r="AE15" i="1"/>
  <c r="AD15" i="1"/>
  <c r="AC15" i="1"/>
  <c r="AB15" i="1"/>
  <c r="AA15" i="1"/>
  <c r="AK15" i="1" s="1"/>
  <c r="Z15" i="1"/>
  <c r="Y15" i="1"/>
  <c r="X15" i="1"/>
  <c r="AH15" i="1" s="1"/>
  <c r="AO14" i="1"/>
  <c r="AN14" i="1"/>
  <c r="AM14" i="1"/>
  <c r="AL14" i="1"/>
  <c r="AE14" i="1"/>
  <c r="AD14" i="1"/>
  <c r="AC14" i="1"/>
  <c r="AB14" i="1"/>
  <c r="AA14" i="1"/>
  <c r="AK14" i="1" s="1"/>
  <c r="Z14" i="1"/>
  <c r="AJ14" i="1" s="1"/>
  <c r="Y14" i="1"/>
  <c r="AI14" i="1" s="1"/>
  <c r="X14" i="1"/>
  <c r="AH14" i="1" s="1"/>
  <c r="AE13" i="1"/>
  <c r="AD13" i="1"/>
  <c r="AN13" i="1" s="1"/>
  <c r="AC13" i="1"/>
  <c r="AM13" i="1" s="1"/>
  <c r="AB13" i="1"/>
  <c r="AL13" i="1" s="1"/>
  <c r="AA13" i="1"/>
  <c r="Z13" i="1"/>
  <c r="Y13" i="1"/>
  <c r="X13" i="1"/>
  <c r="AO12" i="1"/>
  <c r="AN12" i="1"/>
  <c r="AM12" i="1"/>
  <c r="AL12" i="1"/>
  <c r="AK12" i="1"/>
  <c r="AJ12" i="1"/>
  <c r="AI12" i="1"/>
  <c r="AH12" i="1"/>
  <c r="AG12" i="1"/>
  <c r="AF12" i="1"/>
  <c r="AE12" i="1"/>
  <c r="AD12" i="1"/>
  <c r="AC12" i="1"/>
  <c r="AB12" i="1"/>
  <c r="AA12" i="1"/>
  <c r="Z12" i="1"/>
  <c r="Y12" i="1"/>
  <c r="X12" i="1"/>
  <c r="W12" i="1"/>
  <c r="V12" i="1"/>
  <c r="U12" i="1"/>
  <c r="T12" i="1"/>
  <c r="S12" i="1"/>
  <c r="R12" i="1"/>
  <c r="Q12" i="1"/>
  <c r="P12" i="1"/>
  <c r="O12" i="1"/>
  <c r="N12" i="1"/>
  <c r="M12" i="1"/>
  <c r="L12" i="1"/>
  <c r="K12" i="1"/>
  <c r="J12" i="1"/>
  <c r="I12" i="1"/>
  <c r="H12" i="1"/>
  <c r="G12" i="1"/>
  <c r="F12" i="1"/>
  <c r="E12" i="1"/>
  <c r="D12" i="1"/>
  <c r="C12" i="1"/>
  <c r="B12" i="1"/>
  <c r="A12" i="1"/>
  <c r="AK18" i="1" l="1"/>
  <c r="AF19" i="1"/>
  <c r="AG19" i="1" s="1"/>
  <c r="AL17" i="1"/>
  <c r="AB20" i="1" s="1"/>
  <c r="AK17" i="1"/>
  <c r="AF15" i="1"/>
  <c r="AG15" i="1" s="1"/>
  <c r="AK13" i="1"/>
  <c r="AF14" i="1"/>
  <c r="AG14" i="1" s="1"/>
  <c r="K22" i="2"/>
  <c r="C41" i="2" s="1"/>
  <c r="AF18" i="1"/>
  <c r="AG18" i="1" s="1"/>
  <c r="AF16" i="1"/>
  <c r="AG16" i="1" s="1"/>
  <c r="AI17" i="1"/>
  <c r="AF17" i="1"/>
  <c r="AG17" i="1" s="1"/>
  <c r="AF20" i="1" s="1"/>
  <c r="AK20" i="1"/>
  <c r="AD20" i="1"/>
  <c r="AN20" i="1"/>
  <c r="AL20" i="1"/>
  <c r="AM20" i="1"/>
  <c r="AC20" i="1"/>
  <c r="AO13" i="1"/>
  <c r="AF13" i="1"/>
  <c r="AG13" i="1" s="1"/>
  <c r="AI13" i="1"/>
  <c r="AH13" i="1"/>
  <c r="AJ13" i="1"/>
  <c r="N12" i="2"/>
  <c r="M12" i="2"/>
  <c r="P12" i="2" a="1"/>
  <c r="P12" i="2" s="1"/>
  <c r="C12" i="2" s="1"/>
  <c r="O12" i="2"/>
  <c r="B13" i="2" a="1"/>
  <c r="B13" i="2" s="1"/>
  <c r="AJ20" i="1" l="1"/>
  <c r="D28" i="2" s="1"/>
  <c r="F28" i="2" s="1"/>
  <c r="Z20" i="1"/>
  <c r="X20" i="1"/>
  <c r="AH20" i="1"/>
  <c r="D26" i="2"/>
  <c r="F26" i="2" s="1"/>
  <c r="AI20" i="1"/>
  <c r="D27" i="2" s="1"/>
  <c r="F27" i="2" s="1"/>
  <c r="Y20" i="1"/>
  <c r="AO20" i="1"/>
  <c r="AE20" i="1"/>
  <c r="D29" i="2"/>
  <c r="F29" i="2" s="1"/>
  <c r="C39" i="2"/>
  <c r="AG20" i="1"/>
  <c r="AA20" i="1"/>
  <c r="O13" i="2" a="1"/>
  <c r="O13" i="2" s="1"/>
  <c r="O14" i="2" s="1"/>
  <c r="N13" i="2"/>
  <c r="N14" i="2" s="1"/>
  <c r="M13" i="2"/>
  <c r="M14" i="2" s="1"/>
  <c r="P13" i="2" a="1"/>
  <c r="P13" i="2" s="1"/>
  <c r="C13" i="2" s="1"/>
  <c r="C40" i="2" l="1"/>
  <c r="C42" i="2" s="1"/>
  <c r="C43" i="2" s="1"/>
  <c r="D43" i="2" s="1"/>
  <c r="F3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O10" authorId="0" shapeId="0" xr:uid="{00000000-0006-0000-0000-000001000000}">
      <text>
        <r>
          <rPr>
            <sz val="11"/>
            <rFont val="Carlito"/>
            <family val="2"/>
          </rPr>
          <t>Admin:
Tỷ lệ PR được duyệt ngay lần review đầu tiên
Code Review Pass (%)=
(PR Pass First Review / Tổng số PR ) ×100</t>
        </r>
      </text>
    </comment>
    <comment ref="P10" authorId="0" shapeId="0" xr:uid="{00000000-0006-0000-0000-000002000000}">
      <text>
        <r>
          <rPr>
            <sz val="11"/>
            <rFont val="Carlito"/>
            <family val="2"/>
          </rPr>
          <t>Admin:
*Ý nghĩa: Tỷ lệ yêu cầu hỗ trợ được xử lý đúng thời gian cam kết (SLA).
*Công thức: Số ticket đúng SLA / Tổng ticket × 100%
*KPI yêu cầu: &gt;=95%</t>
        </r>
      </text>
    </comment>
    <comment ref="Q10" authorId="0" shapeId="0" xr:uid="{00000000-0006-0000-0000-000003000000}">
      <text>
        <r>
          <rPr>
            <sz val="11"/>
            <rFont val="Carlito"/>
            <family val="2"/>
          </rPr>
          <t>Admin:
*Ý nghĩa: Thời gian từ lúc khách hàng tạo yêu cầu đến lúc nhân viên phản hồi đầu tiên.
*Công thức: Thời gian phản hồi đầu tiên - Thời gian tạo ticket
*KPI yêu cầu: ≤2 giờ (hoặc theo SLA)</t>
        </r>
      </text>
    </comment>
    <comment ref="R10" authorId="0" shapeId="0" xr:uid="{00000000-0006-0000-0000-000004000000}">
      <text>
        <r>
          <rPr>
            <sz val="11"/>
            <rFont val="Carlito"/>
            <family val="2"/>
          </rPr>
          <t>Admin:
*Ý nghĩa: Ticket được khách hàng chấp nhận ngay lần đầu hay không.
*Công thức: 1 = Đồng ý ngay, 0 = Phải sửa lại
*KPI yêu cầu: ≥90%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B8" authorId="0" shapeId="0" xr:uid="{00000000-0006-0000-0200-000001000000}">
      <text>
        <r>
          <rPr>
            <sz val="11"/>
            <rFont val="Carlito"/>
            <family val="2"/>
          </rPr>
          <t>Admin:
Tỷ lệ PR được duyệt ngay lần review đầu tiên
Code Review Pass (%)=
(PR Pass First Review / Tổng số PR ) ×100</t>
        </r>
      </text>
    </comment>
    <comment ref="B9" authorId="0" shapeId="0" xr:uid="{00000000-0006-0000-0200-000002000000}">
      <text>
        <r>
          <rPr>
            <sz val="11"/>
            <rFont val="Carlito"/>
            <family val="2"/>
          </rPr>
          <t>Admin:
*Ý nghĩa: Tỷ lệ yêu cầu hỗ trợ được xử lý đúng thời gian cam kết (SLA).
*Công thức: Số ticket đúng SLA / Tổng ticket × 100%
*KPI yêu cầu: &gt;=95%</t>
        </r>
      </text>
    </comment>
    <comment ref="B10" authorId="0" shapeId="0" xr:uid="{00000000-0006-0000-0200-000003000000}">
      <text>
        <r>
          <rPr>
            <sz val="11"/>
            <rFont val="Carlito"/>
            <family val="2"/>
          </rPr>
          <t>Admin:
*Ý nghĩa: Thời gian từ lúc khách hàng tạo yêu cầu đến lúc nhân viên phản hồi đầu tiên.
*Công thức: Thời gian phản hồi đầu tiên - Thời gian tạo ticket
*KPI yêu cầu: ≤2 giờ (hoặc theo SLA)</t>
        </r>
      </text>
    </comment>
    <comment ref="B11" authorId="0" shapeId="0" xr:uid="{00000000-0006-0000-0200-000004000000}">
      <text>
        <r>
          <rPr>
            <sz val="11"/>
            <rFont val="Carlito"/>
            <family val="2"/>
          </rPr>
          <t>Admin:
*Ý nghĩa: Ticket được khách hàng chấp nhận ngay lần đầu hay không.
*Công thức: 1 = Đồng ý ngay, 0 = Phải sửa lại
*KPI yêu cầu: ≥90%</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<sst xmlns="http://schemas.openxmlformats.org/spreadsheetml/2006/main" count="406" uniqueCount="337">
  <si>
    <t>BÁO CÁO TỔNG HỢP CÔNG VIỆC TRONG THÁNG</t>
  </si>
  <si>
    <t>Họ tên:</t>
  </si>
  <si>
    <t xml:space="preserve">Kỳ báo cáo: </t>
  </si>
  <si>
    <t>2026-08</t>
  </si>
  <si>
    <t>THỐNG KÊ CÔNG VIỆC</t>
  </si>
  <si>
    <t>ĐIỂM CÁ NHÂN ĐÁNH GIÁ</t>
  </si>
  <si>
    <t>CÔNG THỨC TỰ ĐỘNG (THÀNH VIÊN KHÔNG NHẬP - KHÔNG XÓA-SỬA)</t>
  </si>
  <si>
    <t>HIỆU QUẢ
(I)</t>
  </si>
  <si>
    <t>CHẤT LƯỢNG
(II)</t>
  </si>
  <si>
    <t>HỖ TRỢ KHÁCH HÀNG
(III)</t>
  </si>
  <si>
    <t>QUY TRÌNH
(IV)</t>
  </si>
  <si>
    <t>ĐIỂM SỐ</t>
  </si>
  <si>
    <t>TRỌNG SỐ</t>
  </si>
  <si>
    <t>Điểm KPI Task</t>
  </si>
  <si>
    <t>Điểm quy đổi</t>
  </si>
  <si>
    <t>ĐIỂM QUY ĐỔI = ĐIỂM TƯƠNG ỨNG * ĐỘ PHỨC TẠP</t>
  </si>
  <si>
    <t>TỔNG TRỌNG SỐ = TRỌNG SỐ TƯƠNG ỨNG * ĐỘ PHỨC TẠP</t>
  </si>
  <si>
    <t>STT</t>
  </si>
  <si>
    <t>Nhóm dự án</t>
  </si>
  <si>
    <t>Mã - tên dự án</t>
  </si>
  <si>
    <t>Nội dung công việc</t>
  </si>
  <si>
    <t>Link base</t>
  </si>
  <si>
    <t>Ghi chú</t>
  </si>
  <si>
    <t>Loại công việc</t>
  </si>
  <si>
    <t>Số ngày thực hiện</t>
  </si>
  <si>
    <r>
      <rPr>
        <b/>
        <sz val="11"/>
        <color rgb="FF2D3748"/>
        <rFont val="Segoe UI"/>
        <family val="2"/>
      </rPr>
      <t xml:space="preserve">Độ phức tạp
(1 </t>
    </r>
    <r>
      <rPr>
        <b/>
        <sz val="11"/>
        <color rgb="FF2D3748"/>
        <rFont val="Times New Roman"/>
        <family val="1"/>
      </rPr>
      <t>→</t>
    </r>
    <r>
      <rPr>
        <b/>
        <sz val="11"/>
        <color rgb="FF2D3748"/>
        <rFont val="Segoe UI"/>
        <family val="2"/>
      </rPr>
      <t xml:space="preserve"> 5)</t>
    </r>
  </si>
  <si>
    <t>Kế hoạch (%)</t>
  </si>
  <si>
    <t>Hoàn thành thực tế (%)</t>
  </si>
  <si>
    <t>Đúng hạn (1/0)</t>
  </si>
  <si>
    <t>Sổ lỗi (Bug) sau bàn giao</t>
  </si>
  <si>
    <t>Số lỗi nghiêm trọng (Bug Critical)</t>
  </si>
  <si>
    <t>Tỉ lệ đạt sau review (Review Pass) (%)</t>
  </si>
  <si>
    <t>SLA đúng hạn (%)</t>
  </si>
  <si>
    <t>Phản hồi (giờ)</t>
  </si>
  <si>
    <t>Nghiệm thu lần đầu (1/0)</t>
  </si>
  <si>
    <t>Tài liệu đầy đủ (%)</t>
  </si>
  <si>
    <t>Tuân thủ quy trình (%)</t>
  </si>
  <si>
    <t>Sáng kiến (điểm 0-1)</t>
  </si>
  <si>
    <t>Tinh thần tích cực
(điểm 0 -&gt; 5)</t>
  </si>
  <si>
    <t>Thái độ chủ động
(điểm 0 -&gt; 5)</t>
  </si>
  <si>
    <t>Điểm hiệu quả</t>
  </si>
  <si>
    <t>Điểm chất lượng</t>
  </si>
  <si>
    <t>Điểm hỗ trợ</t>
  </si>
  <si>
    <t>Điểm quy trình</t>
  </si>
  <si>
    <t>Trọng số Hiệu quả</t>
  </si>
  <si>
    <t>Trọng số Chất lượng</t>
  </si>
  <si>
    <t>Trọng số Hỗ trợ</t>
  </si>
  <si>
    <t>Trọng số Quy trình</t>
  </si>
  <si>
    <t>Điểm Hiệu Qủa quy đổi</t>
  </si>
  <si>
    <t>Điểm Chất Lượng quy đổi</t>
  </si>
  <si>
    <t>Điểm Hỗ Trợ quy đổi</t>
  </si>
  <si>
    <t>Điểm Quy Trình quy đổi</t>
  </si>
  <si>
    <t>Tổng trọng số Hiệu Quả</t>
  </si>
  <si>
    <t>Tổng trọng số Chất Lượng</t>
  </si>
  <si>
    <t>Tổng trọng số Hỗ trợ</t>
  </si>
  <si>
    <t>Tổng trọng số quy trình</t>
  </si>
  <si>
    <t>(70%)</t>
  </si>
  <si>
    <t>(30%)</t>
  </si>
  <si>
    <t>(40%)</t>
  </si>
  <si>
    <t>(20%)</t>
  </si>
  <si>
    <t>(60%)</t>
  </si>
  <si>
    <t>('25%)</t>
  </si>
  <si>
    <t>(25%)</t>
  </si>
  <si>
    <t>(10%)</t>
  </si>
  <si>
    <t>ITS</t>
  </si>
  <si>
    <t>[SW2026] ITS015 - Hữu Nghị-Chi Lăng</t>
  </si>
  <si>
    <t>XD001.1.8 Điều chỉnh giao diện, chức năng liên quan các phân hệ chính</t>
  </si>
  <si>
    <t>https://wework.base.vn/tasks?task=10759745</t>
  </si>
  <si>
    <t>- Chủ động trong quá trình xử lý điều chỉnh code, trao đổi nghiệp vụ quy trình với các test và leader
- Xây dựng module để đáp ứng đầy đủ luồng xử lý thiết bị VMS/LCS</t>
  </si>
  <si>
    <t>DEV</t>
  </si>
  <si>
    <t>DOC</t>
  </si>
  <si>
    <t>SUPPORT</t>
  </si>
  <si>
    <t>TỔNG KẾT</t>
  </si>
  <si>
    <t>THANG ĐIỂM KPI</t>
  </si>
  <si>
    <t>LOẠI CÔNG VIỆC</t>
  </si>
  <si>
    <t>95 - 100</t>
  </si>
  <si>
    <t>Xuất sắc</t>
  </si>
  <si>
    <t>Phát triển</t>
  </si>
  <si>
    <t>Tài liệu</t>
  </si>
  <si>
    <t>90 - 94</t>
  </si>
  <si>
    <t>Tốt</t>
  </si>
  <si>
    <t>Xây dựng API</t>
  </si>
  <si>
    <t>Kiểm tra code</t>
  </si>
  <si>
    <t>80 - 89</t>
  </si>
  <si>
    <t>Khá</t>
  </si>
  <si>
    <t>Sửa lỗi</t>
  </si>
  <si>
    <t>Bảo trì</t>
  </si>
  <si>
    <t>70 - 79</t>
  </si>
  <si>
    <t>Đạt</t>
  </si>
  <si>
    <t>Hỗ trợ</t>
  </si>
  <si>
    <t>Nghiên cứu</t>
  </si>
  <si>
    <t>&lt; 70</t>
  </si>
  <si>
    <t>Chưa đạt</t>
  </si>
  <si>
    <t>BÁO CÁO ĐÁNH GIÁ KPI VÀ KẾ HOẠCH PHÁT TRIỂN CÁ NHÂN</t>
  </si>
  <si>
    <t>THÔNG TIN NHÂN SỰ VÀ KỲ ĐÁNH GIÁ</t>
  </si>
  <si>
    <t xml:space="preserve">       Họ tên nhân viên</t>
  </si>
  <si>
    <t xml:space="preserve">       Chức vụ</t>
  </si>
  <si>
    <t>Nhân viên phát triển phần mềm</t>
  </si>
  <si>
    <t xml:space="preserve">       Ngày bắt đầu vào làm</t>
  </si>
  <si>
    <t xml:space="preserve">       Phòng ban</t>
  </si>
  <si>
    <t>Phòng phát triển phần mềm</t>
  </si>
  <si>
    <t xml:space="preserve">       Quản lý</t>
  </si>
  <si>
    <t xml:space="preserve">       Ngày báo cáo</t>
  </si>
  <si>
    <t xml:space="preserve">       Kỳ đánh giá</t>
  </si>
  <si>
    <t xml:space="preserve">       Chức vụ quản lý</t>
  </si>
  <si>
    <t>A. KẾT QUẢ THỰC HIỆN CÔNG VIỆC</t>
  </si>
  <si>
    <r>
      <rPr>
        <b/>
        <sz val="10"/>
        <color theme="0" tint="-4.9989318521683403E-2"/>
        <rFont val="Segoe UI"/>
        <family val="2"/>
      </rPr>
      <t xml:space="preserve">Dự án
</t>
    </r>
    <r>
      <rPr>
        <b/>
        <i/>
        <sz val="10"/>
        <color theme="0" tint="-4.9989318521683403E-2"/>
        <rFont val="Segoe UI"/>
        <family val="2"/>
      </rPr>
      <t>(tự động)</t>
    </r>
  </si>
  <si>
    <r>
      <rPr>
        <b/>
        <sz val="10"/>
        <color theme="0" tint="-4.9989318521683403E-2"/>
        <rFont val="Segoe UI"/>
        <family val="2"/>
      </rPr>
      <t xml:space="preserve">Nội dung công việc chính
</t>
    </r>
    <r>
      <rPr>
        <b/>
        <i/>
        <sz val="10"/>
        <color theme="0" tint="-4.9989318521683403E-2"/>
        <rFont val="Segoe UI"/>
        <family val="2"/>
      </rPr>
      <t>(tự động)</t>
    </r>
  </si>
  <si>
    <r>
      <rPr>
        <b/>
        <sz val="10"/>
        <color theme="0" tint="-4.9989318521683403E-2"/>
        <rFont val="Segoe UI"/>
        <family val="2"/>
      </rPr>
      <t xml:space="preserve">Kết quả nổi bật
</t>
    </r>
    <r>
      <rPr>
        <b/>
        <i/>
        <sz val="10"/>
        <color theme="0" tint="-4.9989318521683403E-2"/>
        <rFont val="Segoe UI"/>
        <family val="2"/>
      </rPr>
      <t>(thủ công)</t>
    </r>
  </si>
  <si>
    <r>
      <rPr>
        <b/>
        <sz val="10"/>
        <color theme="0" tint="-4.9989318521683403E-2"/>
        <rFont val="Segoe UI"/>
        <family val="2"/>
      </rPr>
      <t xml:space="preserve">Số Task
</t>
    </r>
    <r>
      <rPr>
        <b/>
        <i/>
        <sz val="10"/>
        <color theme="0" tint="-4.9989318521683403E-2"/>
        <rFont val="Segoe UI"/>
        <family val="2"/>
      </rPr>
      <t>(tự động)</t>
    </r>
  </si>
  <si>
    <r>
      <rPr>
        <b/>
        <sz val="10"/>
        <color theme="0" tint="-4.9989318521683403E-2"/>
        <rFont val="Segoe UI"/>
        <family val="2"/>
      </rPr>
      <t xml:space="preserve">Độ phức tạp
</t>
    </r>
    <r>
      <rPr>
        <b/>
        <i/>
        <sz val="10"/>
        <color theme="0" tint="-4.9989318521683403E-2"/>
        <rFont val="Segoe UI"/>
        <family val="2"/>
      </rPr>
      <t>(tự động)</t>
    </r>
  </si>
  <si>
    <r>
      <rPr>
        <b/>
        <sz val="10"/>
        <color theme="0" tint="-4.9989318521683403E-2"/>
        <rFont val="Segoe UI"/>
        <family val="2"/>
      </rPr>
      <t xml:space="preserve">Điểm KPI Task
</t>
    </r>
    <r>
      <rPr>
        <b/>
        <i/>
        <sz val="10"/>
        <color theme="0" tint="-4.9989318521683403E-2"/>
        <rFont val="Segoe UI"/>
        <family val="2"/>
      </rPr>
      <t>(tự động)</t>
    </r>
  </si>
  <si>
    <t>TỔNG</t>
  </si>
  <si>
    <r>
      <rPr>
        <b/>
        <sz val="11"/>
        <color theme="0" tint="-4.9989318521683403E-2"/>
        <rFont val="Segoe UI"/>
        <family val="2"/>
      </rPr>
      <t xml:space="preserve">B. ĐÁNH GIÁ NĂNG LỰC VÀ HÀNH VI
</t>
    </r>
    <r>
      <rPr>
        <i/>
        <sz val="11"/>
        <color theme="0" tint="-4.9989318521683403E-2"/>
        <rFont val="Segoe UI"/>
        <family val="2"/>
      </rPr>
      <t xml:space="preserve">(Thang điểm: 0 </t>
    </r>
    <r>
      <rPr>
        <i/>
        <sz val="11"/>
        <color theme="0" tint="-4.9989318521683403E-2"/>
        <rFont val="Times New Roman"/>
        <family val="1"/>
      </rPr>
      <t>→</t>
    </r>
    <r>
      <rPr>
        <i/>
        <sz val="11"/>
        <color theme="0" tint="-4.9989318521683403E-2"/>
        <rFont val="Segoe UI"/>
        <family val="2"/>
      </rPr>
      <t xml:space="preserve"> 10)</t>
    </r>
  </si>
  <si>
    <t>Nhóm năng lực</t>
  </si>
  <si>
    <t>Nội dung đánh giá</t>
  </si>
  <si>
    <t>Trọng số</t>
  </si>
  <si>
    <r>
      <rPr>
        <b/>
        <sz val="10"/>
        <color theme="0" tint="-4.9989318521683403E-2"/>
        <rFont val="Segoe UI"/>
        <family val="2"/>
      </rPr>
      <t xml:space="preserve">Điểm cá nhân
</t>
    </r>
    <r>
      <rPr>
        <b/>
        <i/>
        <sz val="10"/>
        <color theme="0" tint="-4.9989318521683403E-2"/>
        <rFont val="Segoe UI"/>
        <family val="2"/>
      </rPr>
      <t>(thủ công)</t>
    </r>
  </si>
  <si>
    <r>
      <rPr>
        <b/>
        <sz val="10"/>
        <color theme="0" tint="-4.9989318521683403E-2"/>
        <rFont val="Segoe UI"/>
        <family val="2"/>
      </rPr>
      <t xml:space="preserve">Điểm quản lý
</t>
    </r>
    <r>
      <rPr>
        <b/>
        <i/>
        <sz val="10"/>
        <color theme="0" tint="-4.9989318521683403E-2"/>
        <rFont val="Segoe UI"/>
        <family val="2"/>
      </rPr>
      <t>(thủ công)</t>
    </r>
  </si>
  <si>
    <r>
      <rPr>
        <b/>
        <sz val="10"/>
        <color theme="0" tint="-4.9989318521683403E-2"/>
        <rFont val="Segoe UI"/>
        <family val="2"/>
      </rPr>
      <t xml:space="preserve">Quy đổi cá nhân
</t>
    </r>
    <r>
      <rPr>
        <b/>
        <i/>
        <sz val="10"/>
        <color theme="0" tint="-4.9989318521683403E-2"/>
        <rFont val="Segoe UI"/>
        <family val="2"/>
      </rPr>
      <t>(tự động)</t>
    </r>
  </si>
  <si>
    <r>
      <rPr>
        <b/>
        <sz val="10"/>
        <color theme="0" tint="-4.9989318521683403E-2"/>
        <rFont val="Segoe UI"/>
        <family val="2"/>
      </rPr>
      <t xml:space="preserve">Quy đổi quản lý
</t>
    </r>
    <r>
      <rPr>
        <b/>
        <i/>
        <sz val="10"/>
        <color theme="0" tint="-4.9989318521683403E-2"/>
        <rFont val="Segoe UI"/>
        <family val="2"/>
      </rPr>
      <t>(tự động)</t>
    </r>
  </si>
  <si>
    <r>
      <rPr>
        <b/>
        <sz val="10"/>
        <color theme="0" tint="-4.9989318521683403E-2"/>
        <rFont val="Segoe UI"/>
        <family val="2"/>
      </rPr>
      <t xml:space="preserve">Nhận xét/ Ghi chú
</t>
    </r>
    <r>
      <rPr>
        <b/>
        <i/>
        <sz val="10"/>
        <color theme="0" tint="-4.9989318521683403E-2"/>
        <rFont val="Segoe UI"/>
        <family val="2"/>
      </rPr>
      <t>(thủ công)</t>
    </r>
  </si>
  <si>
    <t>Kiến thức và năng lực chuyên môn</t>
  </si>
  <si>
    <t>Hiểu nghiệp vụ, công nghệ; phân tích và giải quyết vấn đề</t>
  </si>
  <si>
    <t>Chủ động, trách nhiệm và phối hợp</t>
  </si>
  <si>
    <t>Chủ động nhận việc, cảnh báo rủi ro, phối hợp và chịu trách nhiệm</t>
  </si>
  <si>
    <t>Giải quyết vấn đề và cải tiến</t>
  </si>
  <si>
    <t>Đề xuất giải pháp, cải tiến công cụ/quy trình, chia sẻ kiến thức</t>
  </si>
  <si>
    <t>Học hỏi và phát triển</t>
  </si>
  <si>
    <t>Học công nghệ/nghiệp vụ mới và áp dụng vào thực tế</t>
  </si>
  <si>
    <r>
      <rPr>
        <b/>
        <sz val="11"/>
        <color theme="0" tint="-4.9989318521683403E-2"/>
        <rFont val="Segoe UI"/>
        <family val="2"/>
      </rPr>
      <t xml:space="preserve">C. TỔNG HỢP KPI VÀ XẾP LOẠI </t>
    </r>
    <r>
      <rPr>
        <b/>
        <i/>
        <sz val="11"/>
        <color theme="0" tint="-4.9989318521683403E-2"/>
        <rFont val="Segoe UI"/>
        <family val="2"/>
      </rPr>
      <t>(tự động)</t>
    </r>
  </si>
  <si>
    <t>Nhóm KPI</t>
  </si>
  <si>
    <t>Trọng số chuẩn</t>
  </si>
  <si>
    <t>Điểm thực tế</t>
  </si>
  <si>
    <t>Hiệu quả thực hiện công việc</t>
  </si>
  <si>
    <t>Chất lượng sản phẩm phần mềm</t>
  </si>
  <si>
    <t>Hỗ trợ &amp; dịch vụ khách hàng</t>
  </si>
  <si>
    <t>Quy trình &amp; phát triển năng lực</t>
  </si>
  <si>
    <t>TỔNG CỘNG</t>
  </si>
  <si>
    <r>
      <rPr>
        <b/>
        <sz val="14"/>
        <color rgb="FF1F4E79"/>
        <rFont val="Segoe UI"/>
        <family val="2"/>
      </rPr>
      <t xml:space="preserve">TỔNG KẾT ĐIỂM </t>
    </r>
    <r>
      <rPr>
        <i/>
        <sz val="14"/>
        <color rgb="FF1F4E79"/>
        <rFont val="Segoe UI"/>
        <family val="2"/>
      </rPr>
      <t>(tự động)</t>
    </r>
  </si>
  <si>
    <t>Chỉ số tổng hợp</t>
  </si>
  <si>
    <t>Giá trị</t>
  </si>
  <si>
    <t>TỔNG TASK</t>
  </si>
  <si>
    <t>Tổng số đầu việc trong kỳ</t>
  </si>
  <si>
    <t>TỔNG TASK PHỨC TẠP</t>
  </si>
  <si>
    <t>Tổng hệ số độ phức tạp</t>
  </si>
  <si>
    <t>ĐIỂM KPI TASK</t>
  </si>
  <si>
    <t>Bình quân điểm theo dự án</t>
  </si>
  <si>
    <t>ĐIỂM KPI TIÊU CHÍ</t>
  </si>
  <si>
    <t>Tổng điểm quy đổi theo 4 nhóm KPI. 
Theo trọng số 40%-35%-15%-10%</t>
  </si>
  <si>
    <t>ĐIỂM NĂNG LỰC</t>
  </si>
  <si>
    <t>Bình quân điểm của đánh giá năng lực và hành vi.
Quy đổi thang 10 sang 100
Quản lý * 80% + Thành viên * 20%</t>
  </si>
  <si>
    <t>ĐIỂM KPT TỔNG</t>
  </si>
  <si>
    <t>80% KPI công việc + 20% năng lực</t>
  </si>
  <si>
    <t>XẾP LOẠI</t>
  </si>
  <si>
    <t>D. KẾ HOẠCH VÀ MỤC TIÊU KỲ TIẾP THEO</t>
  </si>
  <si>
    <t>Mã dự án</t>
  </si>
  <si>
    <t>Tên dự án</t>
  </si>
  <si>
    <t>Tháng 01</t>
  </si>
  <si>
    <t>Tháng 02</t>
  </si>
  <si>
    <t>Tháng 03</t>
  </si>
  <si>
    <t>Tháng 04</t>
  </si>
  <si>
    <t>Tháng 05</t>
  </si>
  <si>
    <t>Tháng 06</t>
  </si>
  <si>
    <t>Tháng 07</t>
  </si>
  <si>
    <t>Tháng 08</t>
  </si>
  <si>
    <t>Tháng 09</t>
  </si>
  <si>
    <t>Tháng 10</t>
  </si>
  <si>
    <t>Tháng 11</t>
  </si>
  <si>
    <t>Tháng 12</t>
  </si>
  <si>
    <t>E. KẾ HOẠCH ĐÀO TẠO - HỌC TẬP</t>
  </si>
  <si>
    <t>Nội dung đào tạo</t>
  </si>
  <si>
    <t>Thời hạn</t>
  </si>
  <si>
    <t>Kết quả mong đợi</t>
  </si>
  <si>
    <t>F. ĐỊNH HƯỚNG NGHỀ NGHIỆP</t>
  </si>
  <si>
    <t>Giai đoạn</t>
  </si>
  <si>
    <t>Mục tiêu của nhân viên</t>
  </si>
  <si>
    <t>Đề xuất của quản lý</t>
  </si>
  <si>
    <t>Ngắn hạn (1-2 năm)</t>
  </si>
  <si>
    <t>Dài hạn (3-5 năm)</t>
  </si>
  <si>
    <t>CHỮ KÝ NHÂN VIÊN</t>
  </si>
  <si>
    <t>CHỮ KÝ QUẢN LÝ</t>
  </si>
  <si>
    <t>4 TIÊU CHÍ ĐÁNH GIÁ KPI</t>
  </si>
  <si>
    <t>Chỉ tiêu đánh giá</t>
  </si>
  <si>
    <t>Chỉ tiêu con</t>
  </si>
  <si>
    <t>Tỉ trọng (%)</t>
  </si>
  <si>
    <t xml:space="preserve">Ý nghĩa </t>
  </si>
  <si>
    <t>Mục tiêu KPI</t>
  </si>
  <si>
    <t>Phần trăm hoàn thành thực hiện được so với kế hoạch - mục tiêu đặt ra</t>
  </si>
  <si>
    <t>≥90%</t>
  </si>
  <si>
    <t>Hoàn thành đúng hạn : 1 đ
Hoàn trành trễ hạn: 0đ</t>
  </si>
  <si>
    <t>≥95%</t>
  </si>
  <si>
    <t xml:space="preserve">Số lượng lỗi phát hiện sau khi phát hành sản phẩm (release).
Tối đa: 100đ; tối thiểu 0đ
Mỗi bug trừ 15đ
</t>
  </si>
  <si>
    <t>≤2 bugs/ tháng</t>
  </si>
  <si>
    <t>Số lỗi ngiệm trọng (Bug Critical)</t>
  </si>
  <si>
    <t>Số lượng lỗi nghiêm trọng sau khi phát hành sản phẩm (release)
Tối đa: 100đ; tối thiểu 0đ
Mỗi bug trừ 50đ</t>
  </si>
  <si>
    <t>≤0 bugs/ tháng</t>
  </si>
  <si>
    <t>Tỉ lệ code đạt sau review (Code Review Pass) (%)</t>
  </si>
  <si>
    <t>Tỉ lệ tổng = số review đạt/tổng số yêu cầu
Ví dụ: 
Tổng PR = 40
Tổng review đạt = 36
Tĩ lệ = 36/40 = 90%</t>
  </si>
  <si>
    <t>Tỷ lệ yêu cầu hỗ trợ được xử lý đúng thời gian cam kết (SLA).
*Công thức: Số ticket đúng SLA / Tổng ticket × 100%</t>
  </si>
  <si>
    <t>Thời gian từ lúc khách hàng tạo yêu cầu đến lúc nhân viên phản hồi đầu tiên.
*Công thức: Thời gian phản hồi đầu tiên - Thời gian tạo ticket</t>
  </si>
  <si>
    <t>≤2 giờ (giờ hành chánh - ngày làm việc)
&lt;=24h (ngày nghỉ)</t>
  </si>
  <si>
    <t>Ticket được khách hàng chấp nhận ngay lần đầu hay không.
*Công thức: 1 = Đồng ý ngay, 0 = Phải sửa lại</t>
  </si>
  <si>
    <t>Đảm bảo mọi công việc đều có tài liệu phục vụ bảo trì và bàn giao.
Kiểm tra checklist tài liệu bắt buộc của từng loại task (BRD, API, DB, Test Case, Release Note, HDSD...). 
*Công thức: Điểm = Số tài liệu hoàn thành / Số tài liệu yêu cầu × 100%.</t>
  </si>
  <si>
    <t>Thực hiện đúng quy trình phát triển phần mềm của công ty.
Đánh giá theo checklist quy trình: tạo Task → Code → Pull Request → Code Review → Test → UAT → Update realses, tài liệu drive, nhật ký → Release → Close Task. 
*Công thức: Điểm = Bước hoàn thành / Bước yêu cầu ×100%.</t>
  </si>
  <si>
    <t>Khuyến khích cải tiến quy trình, công cụ hoặc sản phẩm.
*Công thức:
0 = Không có.
0.5 = Có đề xuất nhưng chưa áp dụng. 
1 = Đề xuất được áp dụng hoặc mang lại hiệu quả rõ ràng.</t>
  </si>
  <si>
    <t>Trung bình ≥0.5/tháng</t>
  </si>
  <si>
    <t>| Điểm  | Mô tả                                                                       |
| ----- | --------------------------------------------------------------------------- |
| **5** | Luôn tích cực, hỗ trợ đồng nghiệp, tạo động lực cho nhóm, không than phiền. |
| **4** | Hợp tác tốt, thái độ tích cực, đôi lúc cần nhắc nhở nhỏ.                    |
| **3** | Hoàn thành công việc nhưng ít tương tác hoặc ít hỗ trợ.                     |
| **2** | Thường xuyên tiêu cực, ảnh hưởng đến nhóm.                                  |
| **1** | Thái độ kém, gây xung đột.                                                  |
| **0** | Vi phạm nghiêm trọng văn hóa công ty.                                       |</t>
  </si>
  <si>
    <t>≥4.5/5</t>
  </si>
  <si>
    <t>| Điểm  | Mô tả                                                                        |
| ----- | ---------------------------------------------------------------------------- |
| **5** | Chủ động nhận việc, phát hiện rủi ro, đề xuất giải pháp trước khi được giao. |
| **4** | Chủ động trong phần lớn công việc, báo cáo kịp thời.                         |
| **3** | Làm khi được giao, ít đề xuất.                                               |
| **2** | Thường xuyên chờ chỉ đạo, ít phản hồi.                                       |
| **1** | Né tránh trách nhiệm hoặc đùn đẩy công việc.                                 |
| **0** | Không hợp tác, ảnh hưởng nghiêm trọng đến tiến độ.                           |</t>
  </si>
  <si>
    <t>ĐỘ PHỨC TẠP CỦA TASK</t>
  </si>
  <si>
    <t>MỨC ĐỘ</t>
  </si>
  <si>
    <t>TIÊU CHÍ</t>
  </si>
  <si>
    <t>ĐIỂM</t>
  </si>
  <si>
    <t>PHÂN LOẠI</t>
  </si>
  <si>
    <t>VÍ DỤ</t>
  </si>
  <si>
    <t>Rất đơn giản</t>
  </si>
  <si>
    <t>Sửa text, CSS, cấu hình, dữ liệu, lỗi nhỏ, tài liệu đơn giản</t>
  </si>
  <si>
    <t>| Công việc       | Điểm |
| ------------------ | -------|
| Thêm nút In     |    1   |
| Sửa lỗi Validate|    1  |
| Sửa lỗi API        |   2  |
| Viết API CRUD  |   2  |
| Dashboard mới |   3  |
| Module hóa đơn|    4  |
| Tích hợp SAP   |    5  |
| Thiết kế kiến trúc|  5  |</t>
  </si>
  <si>
    <t>Đơn giản</t>
  </si>
  <si>
    <t>Sửa bug nhỏ, API đơn giản, CRUD, hỗ trợ người dùng</t>
  </si>
  <si>
    <t>Trung bình</t>
  </si>
  <si>
    <t>Xây dựng màn hình mới, tích hợp API, báo cáo, module nhỏ</t>
  </si>
  <si>
    <t>Khó</t>
  </si>
  <si>
    <t>Module lớn, nhiều business, nhiều bảng DB, nhiều API</t>
  </si>
  <si>
    <t>Rất khó</t>
  </si>
  <si>
    <t>Thiết kế kiến trúc, tích hợp hệ thống, tối ưu hiệu năng, AI, phân tán, bảo mật</t>
  </si>
  <si>
    <t>Checklist - Code Review Pass</t>
  </si>
  <si>
    <t>Tiêu chí</t>
  </si>
  <si>
    <t>Ý nghĩa</t>
  </si>
  <si>
    <t>Ví dụ đạt</t>
  </si>
  <si>
    <t>Ví dụ không đạt</t>
  </si>
  <si>
    <t>1. Coding Convention</t>
  </si>
  <si>
    <t>Tuân thủ quy ước viết code của dự án (format, style, tổ chức code).</t>
  </si>
  <si>
    <t>Đặt {} đúng chuẩn, indent 4 spaces, namespace đúng.</t>
  </si>
  <si>
    <t>File mỗi người một kiểu, format lộn xộn.</t>
  </si>
  <si>
    <t>2. Naming</t>
  </si>
  <si>
    <t>Đặt tên biến, hàm, class rõ nghĩa và thống nhất.</t>
  </si>
  <si>
    <t>GetCustomerById(), userName.</t>
  </si>
  <si>
    <t>abc(), temp1, x, data2.</t>
  </si>
  <si>
    <t>3. SOLID</t>
  </si>
  <si>
    <t>Tuân thủ 5 nguyên tắc thiết kế hướng đối tượng để code dễ mở rộng và bảo trì.</t>
  </si>
  <si>
    <t>Mỗi class chỉ có một trách nhiệm, dùng interface hợp lý.</t>
  </si>
  <si>
    <t>Một class vừa xử lý DB, vừa gửi email, vừa tính toán nghiệp vụ.</t>
  </si>
  <si>
    <t>4. Clean Code</t>
  </si>
  <si>
    <t>Code dễ đọc, dễ hiểu, ít lặp lại, tổ chức logic rõ ràng.</t>
  </si>
  <si>
    <t>Hàm 20–30 dòng, chia nhỏ theo chức năng.</t>
  </si>
  <si>
    <t>Hàm 500 dòng, nhiều if-else lồng nhau, copy-paste nhiều nơi.</t>
  </si>
  <si>
    <t>5. Security</t>
  </si>
  <si>
    <t>Đảm bảo an toàn dữ liệu và quyền truy cập.</t>
  </si>
  <si>
    <t>Kiểm tra quyền, mã hóa dữ liệu nhạy cảm, validate input.</t>
  </si>
  <si>
    <t>Lộ mật khẩu, API không kiểm tra quyền, lưu password dạng plain text.</t>
  </si>
  <si>
    <t>6. Performance</t>
  </si>
  <si>
    <t>Tối ưu hiệu năng, tránh xử lý thừa.</t>
  </si>
  <si>
    <t>Query đúng index, phân trang, cache hợp lý.</t>
  </si>
  <si>
    <t>Query toàn bảng, gọi API lặp nhiều lần, vòng lặp dư thừa.</t>
  </si>
  <si>
    <t>7. Exception Handling</t>
  </si>
  <si>
    <t>Bắt và xử lý lỗi đúng cách.</t>
  </si>
  <si>
    <t>try-catch có log, trả thông báo phù hợp.</t>
  </si>
  <si>
    <t>Nuốt lỗi (catch {}), hoặc để exception làm crash hệ thống.</t>
  </si>
  <si>
    <t>8. SQL Injection</t>
  </si>
  <si>
    <t>Ngăn chặn tấn công chèn câu lệnh SQL.</t>
  </si>
  <si>
    <t>Dùng ORM (SqlSugar, EF Core) hoặc parameterized query.</t>
  </si>
  <si>
    <t>Ghép chuỗi SQL: "... WHERE Name = '" + name + "'".</t>
  </si>
  <si>
    <t>9. Null Checking</t>
  </si>
  <si>
    <t>Kiểm tra giá trị null trước khi sử dụng.</t>
  </si>
  <si>
    <t>if (user == null) return;, ?., ??.</t>
  </si>
  <si>
    <t>Gọi user.Name khi user có thể bằng null, gây NullReferenceException.</t>
  </si>
  <si>
    <t>10. Logging</t>
  </si>
  <si>
    <t>Ghi log đầy đủ để hỗ trợ giám sát và điều tra lỗi.</t>
  </si>
  <si>
    <t>Log lỗi với mã giao dịch, thời gian, stack trace.</t>
  </si>
  <si>
    <t>Không log hoặc chỉ log "Error" khiến không thể truy vết.</t>
  </si>
  <si>
    <t>11. Unit Test</t>
  </si>
  <si>
    <t>Có kiểm thử tự động cho các logic quan trọng.</t>
  </si>
  <si>
    <t>Test các hàm tính toán, nghiệp vụ, API.</t>
  </si>
  <si>
    <t>Không có test hoặc test quá sơ sài.</t>
  </si>
  <si>
    <t>12. Không hard code</t>
  </si>
  <si>
    <t>Không ghi trực tiếp các giá trị dễ thay đổi vào code.</t>
  </si>
  <si>
    <t>Đọc URL, API Key, timeout từ appsettings.json hoặc cấu hình.</t>
  </si>
  <si>
    <t>connectionString = "Server=...", if(role == "Admin"), Timeout = 30000.</t>
  </si>
  <si>
    <t>13. QAQC</t>
  </si>
  <si>
    <t xml:space="preserve">Theo dõi kết quả sau hỗ trợ không nhận phản hồi tiêu cực </t>
  </si>
  <si>
    <t>- Nhận thông tin tích cực
- Không phát sinh lỗi</t>
  </si>
  <si>
    <t>Nhận ý kiến phàn nàn
Phát sinh lỗi nghiêm trọng làm đứng/treo/ảnh hưởng vận hành</t>
  </si>
  <si>
    <t>MA TRẬN TRỌNG SỐ KPI THEO LOẠI CÔNG VIỆC</t>
  </si>
  <si>
    <t>Mã loại</t>
  </si>
  <si>
    <t>Hiệu quả</t>
  </si>
  <si>
    <t>Chất lượng</t>
  </si>
  <si>
    <t>Quy trình &amp; phát triển</t>
  </si>
  <si>
    <t>Tổng</t>
  </si>
  <si>
    <t>Phát triển tính năng/module mới</t>
  </si>
  <si>
    <t>API</t>
  </si>
  <si>
    <t>Phát triển API/Integration</t>
  </si>
  <si>
    <t>BUG</t>
  </si>
  <si>
    <t>Sửa lỗi phần mềm</t>
  </si>
  <si>
    <t>MAINT</t>
  </si>
  <si>
    <t>Bảo trì/nâng cấp hệ thống</t>
  </si>
  <si>
    <t>Hỗ trợ khách hàng/end-user</t>
  </si>
  <si>
    <t>RND</t>
  </si>
  <si>
    <t>Nghiên cứu/đề xuất giải pháp</t>
  </si>
  <si>
    <t>Viết tài liệu/hướng dẫn</t>
  </si>
  <si>
    <t>REVIEW</t>
  </si>
  <si>
    <t>Review code/hỗ trợ kỹ thuật</t>
  </si>
  <si>
    <t>HƯỚNG DẪN ÁP DỤNG KPI THEO TỪNG ĐẦU MỤC CÔNG VIỆC</t>
  </si>
  <si>
    <t>Nguyên tắc</t>
  </si>
  <si>
    <t>Diễn giải</t>
  </si>
  <si>
    <t>1. Không ép một Task phải đủ 4 nhóm KPI</t>
  </si>
  <si>
    <t>Mỗi loại công việc chỉ áp dụng các nhóm KPI phù hợp thông qua ma trận trọng số.</t>
  </si>
  <si>
    <t>2. Chấm điểm theo từng Task</t>
  </si>
  <si>
    <t>Nhập số liệu thực tế của Task; các điểm nhóm được Excel tự động tính.</t>
  </si>
  <si>
    <t>3. Tổng hợp theo kỳ</t>
  </si>
  <si>
    <t>Điểm KPI tháng/quý là bình quân gia quyền theo độ phức tạp và trọng số áp dụng của từng Task.</t>
  </si>
  <si>
    <t>4. Task không áp dụng tiêu chí</t>
  </si>
  <si>
    <t>Trọng số nhóm KPI của loại Task đó bằng 0%; tiêu chí không làm giảm điểm nhân viên.</t>
  </si>
  <si>
    <t>5. Quy tắc trọng số</t>
  </si>
  <si>
    <t>Tổng trọng số của mỗi loại công việc phải bằng 100%.</t>
  </si>
  <si>
    <t>CÔNG THỨC TỔNG HỢP</t>
  </si>
  <si>
    <t>Điểm hiệu quả Task</t>
  </si>
  <si>
    <t>70% × tỷ lệ hoàn thành so với kế hoạch + 30% × đúng hạn</t>
  </si>
  <si>
    <t>Điểm chất lượng Task</t>
  </si>
  <si>
    <t>40% × điểm lỗi lọt sau kiểm thử + 40% × điểm lỗi nghiêm trọng lọt sau kiểm thử + 20% × tỷ lệ Test Case Review Pass</t>
  </si>
  <si>
    <t>Điểm hỗ trợ Task</t>
  </si>
  <si>
    <t>60% × SLA + 20% × điểm thời gian phản hồi + 20% × nghiệm thu lần đầu</t>
  </si>
  <si>
    <t>Điểm quy trình Task</t>
  </si>
  <si>
    <t>40% × tài liệu + 40% × tuân thủ quy trình + 20% × sáng kiến</t>
  </si>
  <si>
    <t>Tổng (Điểm nhóm × Trọng số nhóm theo loại công việc)</t>
  </si>
  <si>
    <t>KPI kỳ đánh giá</t>
  </si>
  <si>
    <t>Tổng điểm quy đổi của các Task / Tổng trọng số quy đổi của các Task</t>
  </si>
  <si>
    <t>Trần Hồng Sơn</t>
  </si>
  <si>
    <t>Hoàng Quý Đạt</t>
  </si>
  <si>
    <t>[2026] XD001.5.6 Service tích hợp dữ liệu 2</t>
  </si>
  <si>
    <t>https://wework.base.vn/tasks?task=11034326</t>
  </si>
  <si>
    <t>- Triển khai cơ chế gửi nối đuôi dữ liệu và gửi tức thì khi có dữ liệu mới
- Xử lý luồng gửi dữ liệu: lấy dữ liệu từ CSDL và chuyển đổi đúng cấu trúc đối tác yêu cầu
- Tự động đóng gói và ghi file dữ liệu gửi đi để lưu trữ làm bằng chứng đối soát
- Chuẩn hóa luồng log cha - con và theo dõi fix bug kiểm thử F16</t>
  </si>
  <si>
    <t>XD001.6.3. Service tích hợp thiết bị</t>
  </si>
  <si>
    <t>https://wework.base.vn/tasks?task=11004386</t>
  </si>
  <si>
    <t>- Nghiên cứu tài liệu chuẩn giao tiếp ISAPI của thiết bị điều khiển màn hình
- Xây dựng API và cơ chế phân quyền VideoWall theo người dùng, tổ chức và ô màn hình
- Phát triển Worker Service giao tiếp thiết bị qua ISAPI/NATS
- Xây dựng form WPF test thiết bị
- Trực tiếp ra site kiểm thử thiết bị (2 ngày): kiểm tra kết nối phần cứng và điều khiển màn hình tại hiện trường</t>
  </si>
  <si>
    <t>2026-10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</si>
</sst>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54">
    <font>
      <sz val="11"/>
      <name val="Carlito"/>
      <charset val="134"/>
    </font>
    <font>
      <b/>
      <sz val="16"/>
      <color rgb="FFFFFFFF"/>
      <name val="Carlito"/>
      <family val="2"/>
    </font>
    <font>
      <b/>
      <sz val="11"/>
      <color rgb="FFFFFFFF"/>
      <name val="Carlito"/>
      <family val="2"/>
    </font>
    <font>
      <sz val="11"/>
      <color theme="0"/>
      <name val="Carlito"/>
      <family val="2"/>
    </font>
    <font>
      <sz val="10"/>
      <name val="Segoe UI"/>
      <family val="2"/>
    </font>
    <font>
      <b/>
      <sz val="14"/>
      <color rgb="FF1F4E79"/>
      <name val="Segoe UI"/>
      <family val="2"/>
    </font>
    <font>
      <sz val="11"/>
      <name val="Segoe UI"/>
      <family val="2"/>
    </font>
    <font>
      <b/>
      <sz val="10"/>
      <color rgb="FFF77E08"/>
      <name val="Segoe UI"/>
      <family val="2"/>
    </font>
    <font>
      <b/>
      <sz val="10"/>
      <color rgb="FF4E5D78"/>
      <name val="Segoe UI"/>
      <family val="2"/>
    </font>
    <font>
      <b/>
      <sz val="10"/>
      <color rgb="FF077444"/>
      <name val="Segoe UI"/>
      <family val="2"/>
    </font>
    <font>
      <b/>
      <sz val="10"/>
      <color rgb="FF0E9258"/>
      <name val="Segoe UI"/>
      <family val="2"/>
    </font>
    <font>
      <b/>
      <sz val="10"/>
      <color theme="0" tint="-4.9989318521683403E-2"/>
      <name val="Segoe UI"/>
      <family val="2"/>
    </font>
    <font>
      <b/>
      <sz val="10"/>
      <color rgb="FFFFFFFF"/>
      <name val="Segoe UI"/>
      <family val="2"/>
    </font>
    <font>
      <b/>
      <sz val="10"/>
      <name val="Segoe UI"/>
      <family val="2"/>
    </font>
    <font>
      <sz val="10"/>
      <name val="Segoe UI"/>
      <family val="2"/>
    </font>
    <font>
      <b/>
      <sz val="11"/>
      <color rgb="FFFFFFFF"/>
      <name val="Segoe UI"/>
      <family val="2"/>
    </font>
    <font>
      <b/>
      <sz val="10"/>
      <color theme="0"/>
      <name val="Segoe UI"/>
      <family val="2"/>
    </font>
    <font>
      <b/>
      <sz val="11"/>
      <name val="Segoe UI"/>
      <family val="2"/>
    </font>
    <font>
      <sz val="10"/>
      <color theme="3"/>
      <name val="Segoe UI"/>
      <family val="2"/>
    </font>
    <font>
      <b/>
      <sz val="11"/>
      <color theme="0"/>
      <name val="Segoe UI"/>
      <family val="2"/>
    </font>
    <font>
      <b/>
      <sz val="11"/>
      <name val="Carlito"/>
      <family val="2"/>
    </font>
    <font>
      <sz val="12"/>
      <name val="Calibri"/>
      <family val="2"/>
      <scheme val="minor"/>
    </font>
    <font>
      <b/>
      <sz val="13"/>
      <color rgb="FFFFFFFF"/>
      <name val="Segoe UI"/>
      <family val="2"/>
    </font>
    <font>
      <b/>
      <sz val="11"/>
      <color rgb="FFFFFFFF"/>
      <name val="Segoe UI"/>
      <family val="2"/>
    </font>
    <font>
      <sz val="13"/>
      <color rgb="FF1E293B"/>
      <name val="Segoe UI"/>
      <family val="2"/>
    </font>
    <font>
      <sz val="10"/>
      <color rgb="FF1E293B"/>
      <name val="Segoe UI"/>
      <family val="2"/>
    </font>
    <font>
      <b/>
      <sz val="11"/>
      <color theme="0" tint="-4.9989318521683403E-2"/>
      <name val="Segoe UI"/>
      <family val="2"/>
    </font>
    <font>
      <sz val="10"/>
      <color rgb="FF01346D"/>
      <name val="Segoe UI"/>
      <family val="2"/>
    </font>
    <font>
      <sz val="10"/>
      <color rgb="FF1E293B"/>
      <name val="Segoe UI"/>
      <family val="2"/>
    </font>
    <font>
      <b/>
      <sz val="11"/>
      <color rgb="FF166534"/>
      <name val="Segoe UI"/>
      <family val="2"/>
    </font>
    <font>
      <b/>
      <sz val="10"/>
      <color rgb="FFF48F02"/>
      <name val="Segoe UI"/>
      <family val="2"/>
    </font>
    <font>
      <b/>
      <sz val="13"/>
      <color rgb="FFFFC000"/>
      <name val="Segoe UI Semibold"/>
      <family val="2"/>
    </font>
    <font>
      <b/>
      <sz val="10"/>
      <color rgb="FF1F4E79"/>
      <name val="Segoe UI"/>
      <family val="2"/>
    </font>
    <font>
      <b/>
      <sz val="10"/>
      <color rgb="FF1E293B"/>
      <name val="Segoe UI"/>
      <family val="2"/>
    </font>
    <font>
      <b/>
      <sz val="13"/>
      <color rgb="FFFF0000"/>
      <name val="Segoe UI Semibold"/>
      <family val="2"/>
    </font>
    <font>
      <b/>
      <sz val="12"/>
      <color rgb="FF166534"/>
      <name val="Segoe UI"/>
      <family val="2"/>
    </font>
    <font>
      <sz val="11"/>
      <color theme="3"/>
      <name val="Carlito"/>
      <family val="2"/>
    </font>
    <font>
      <b/>
      <sz val="11"/>
      <color rgb="FF000000"/>
      <name val="Segoe UI"/>
      <family val="2"/>
    </font>
    <font>
      <sz val="11"/>
      <color rgb="FF000000"/>
      <name val="Carlito"/>
      <family val="2"/>
    </font>
    <font>
      <b/>
      <sz val="11"/>
      <color theme="0"/>
      <name val="Carlito"/>
      <family val="2"/>
    </font>
    <font>
      <b/>
      <sz val="11"/>
      <color rgb="FF1F4E79"/>
      <name val="Carlito"/>
      <family val="2"/>
    </font>
    <font>
      <b/>
      <sz val="11"/>
      <color rgb="FF2D3748"/>
      <name val="Segoe UI"/>
      <family val="2"/>
    </font>
    <font>
      <b/>
      <sz val="11"/>
      <color theme="3"/>
      <name val="Carlito"/>
      <family val="2"/>
    </font>
    <font>
      <u/>
      <sz val="11"/>
      <color theme="10"/>
      <name val="Carlito"/>
      <family val="2"/>
    </font>
    <font>
      <sz val="10"/>
      <color theme="1"/>
      <name val="Segoe UI"/>
      <family val="2"/>
    </font>
    <font>
      <b/>
      <sz val="10"/>
      <color theme="1"/>
      <name val="Segoe UI"/>
      <family val="2"/>
    </font>
    <font>
      <b/>
      <sz val="11"/>
      <color rgb="FF166534"/>
      <name val="Segoe UI"/>
      <family val="2"/>
    </font>
    <font>
      <i/>
      <sz val="14"/>
      <color rgb="FF1F4E79"/>
      <name val="Segoe UI"/>
      <family val="2"/>
    </font>
    <font>
      <b/>
      <i/>
      <sz val="10"/>
      <color theme="0" tint="-4.9989318521683403E-2"/>
      <name val="Segoe UI"/>
      <family val="2"/>
    </font>
    <font>
      <b/>
      <i/>
      <sz val="11"/>
      <color theme="0" tint="-4.9989318521683403E-2"/>
      <name val="Segoe UI"/>
      <family val="2"/>
    </font>
    <font>
      <b/>
      <sz val="11"/>
      <color rgb="FF2D3748"/>
      <name val="Times New Roman"/>
      <family val="1"/>
    </font>
    <font>
      <i/>
      <sz val="11"/>
      <color theme="0" tint="-4.9989318521683403E-2"/>
      <name val="Segoe UI"/>
      <family val="2"/>
    </font>
    <font>
      <i/>
      <sz val="11"/>
      <color theme="0" tint="-4.9989318521683403E-2"/>
      <name val="Times New Roman"/>
      <family val="1"/>
    </font>
    <font>
      <sz val="11"/>
      <name val="Carlito"/>
      <family val="2"/>
    </font>
  </fonts>
  <fills count="32">
    <fill>
      <patternFill patternType="none"/>
    </fill>
    <fill>
      <patternFill patternType="gray125"/>
    </fill>
    <fill>
      <patternFill patternType="solid">
        <fgColor rgb="FF17365D"/>
        <bgColor indexed="64"/>
      </patternFill>
    </fill>
    <fill>
      <patternFill patternType="solid">
        <fgColor rgb="FF2F6FE5"/>
        <bgColor indexed="64"/>
      </patternFill>
    </fill>
    <fill>
      <patternFill patternType="solid">
        <fgColor theme="2"/>
        <bgColor indexed="64"/>
      </patternFill>
    </fill>
    <fill>
      <patternFill patternType="solid">
        <fgColor rgb="FF019FB2"/>
        <bgColor indexed="64"/>
      </patternFill>
    </fill>
    <fill>
      <patternFill patternType="solid">
        <fgColor rgb="FFDC3E43"/>
        <bgColor indexed="64"/>
      </patternFill>
    </fill>
    <fill>
      <patternFill patternType="solid">
        <fgColor rgb="FF913BD2"/>
        <bgColor indexed="64"/>
      </patternFill>
    </fill>
    <fill>
      <patternFill patternType="solid">
        <fgColor rgb="FFF48F02"/>
        <bgColor indexed="64"/>
      </patternFill>
    </fill>
    <fill>
      <patternFill patternType="solid">
        <fgColor rgb="FF3954CA"/>
        <bgColor indexed="64"/>
      </patternFill>
    </fill>
    <fill>
      <patternFill patternType="solid">
        <fgColor rgb="FF767B83"/>
        <bgColor indexed="64"/>
      </patternFill>
    </fill>
    <fill>
      <patternFill patternType="solid">
        <fgColor rgb="FF57AA5F"/>
        <bgColor indexed="64"/>
      </patternFill>
    </fill>
    <fill>
      <patternFill patternType="solid">
        <fgColor rgb="FFEAF4FE"/>
        <bgColor indexed="64"/>
      </patternFill>
    </fill>
    <fill>
      <patternFill patternType="solid">
        <fgColor rgb="FFF8FAFC"/>
        <bgColor indexed="64"/>
      </patternFill>
    </fill>
    <fill>
      <patternFill patternType="solid">
        <fgColor rgb="FF00387A"/>
        <bgColor indexed="64"/>
      </patternFill>
    </fill>
    <fill>
      <patternFill patternType="solid">
        <fgColor rgb="FF6084C1"/>
        <bgColor indexed="64"/>
      </patternFill>
    </fill>
    <fill>
      <patternFill patternType="solid">
        <fgColor rgb="FF6F92CC"/>
        <bgColor indexed="64"/>
      </patternFill>
    </fill>
    <fill>
      <patternFill patternType="solid">
        <fgColor rgb="FF68A080"/>
        <bgColor indexed="64"/>
      </patternFill>
    </fill>
    <fill>
      <patternFill patternType="solid">
        <fgColor rgb="FF77AE8D"/>
        <bgColor indexed="64"/>
      </patternFill>
    </fill>
    <fill>
      <patternFill patternType="solid">
        <fgColor rgb="FFB78458"/>
        <bgColor indexed="64"/>
      </patternFill>
    </fill>
    <fill>
      <patternFill patternType="solid">
        <fgColor rgb="FFC69369"/>
        <bgColor indexed="64"/>
      </patternFill>
    </fill>
    <fill>
      <patternFill patternType="solid">
        <fgColor rgb="FF707A8A"/>
        <bgColor indexed="64"/>
      </patternFill>
    </fill>
    <fill>
      <patternFill patternType="solid">
        <fgColor rgb="FF808B9C"/>
        <bgColor indexed="64"/>
      </patternFill>
    </fill>
    <fill>
      <patternFill patternType="solid">
        <fgColor rgb="FF1E3A5F"/>
        <bgColor indexed="64"/>
      </patternFill>
    </fill>
    <fill>
      <patternFill patternType="solid">
        <fgColor rgb="FF226CF0"/>
        <bgColor indexed="64"/>
      </patternFill>
    </fill>
    <fill>
      <patternFill patternType="solid">
        <fgColor rgb="FF01346D"/>
        <bgColor indexed="64"/>
      </patternFill>
    </fill>
    <fill>
      <patternFill patternType="solid">
        <fgColor rgb="FFD9EAF7"/>
        <bgColor indexed="64"/>
      </patternFill>
    </fill>
    <fill>
      <patternFill patternType="solid">
        <fgColor rgb="FFFFFFFF"/>
        <bgColor indexed="64"/>
      </patternFill>
    </fill>
    <fill>
      <patternFill patternType="solid">
        <fgColor rgb="FFDCFCE7"/>
        <bgColor indexed="64"/>
      </patternFill>
    </fill>
    <fill>
      <patternFill patternType="solid">
        <fgColor theme="3" tint="0.89996032593768116"/>
        <bgColor indexed="64"/>
      </patternFill>
    </fill>
    <fill>
      <patternFill patternType="solid">
        <fgColor rgb="FFF5F7FA"/>
        <bgColor indexed="64"/>
      </patternFill>
    </fill>
    <fill>
      <patternFill patternType="solid">
        <fgColor theme="3" tint="0.89989928891872917"/>
        <bgColor indexed="64"/>
      </patternFill>
    </fill>
  </fills>
  <borders count="98">
    <border>
      <left/>
      <right/>
      <top/>
      <bottom/>
      <diagonal/>
    </border>
    <border>
      <left style="thin">
        <color rgb="FFB8C2CC"/>
      </left>
      <right/>
      <top style="thin">
        <color rgb="FFB8C2CC"/>
      </top>
      <bottom/>
      <diagonal/>
    </border>
    <border>
      <left/>
      <right/>
      <top style="thin">
        <color rgb="FFB8C2CC"/>
      </top>
      <bottom/>
      <diagonal/>
    </border>
    <border>
      <left/>
      <right style="thin">
        <color rgb="FFB8C2CC"/>
      </right>
      <top style="thin">
        <color rgb="FFB8C2CC"/>
      </top>
      <bottom/>
      <diagonal/>
    </border>
    <border>
      <left style="thin">
        <color rgb="FFB8C2CC"/>
      </left>
      <right/>
      <top/>
      <bottom/>
      <diagonal/>
    </border>
    <border>
      <left/>
      <right style="thin">
        <color rgb="FFB8C2CC"/>
      </right>
      <top/>
      <bottom/>
      <diagonal/>
    </border>
    <border>
      <left style="thin">
        <color rgb="FFB8C2CC"/>
      </left>
      <right/>
      <top/>
      <bottom style="thin">
        <color rgb="FFB8C2CC"/>
      </bottom>
      <diagonal/>
    </border>
    <border>
      <left/>
      <right/>
      <top/>
      <bottom style="thin">
        <color rgb="FFB8C2CC"/>
      </bottom>
      <diagonal/>
    </border>
    <border>
      <left/>
      <right style="thin">
        <color rgb="FFB8C2CC"/>
      </right>
      <top/>
      <bottom style="thin">
        <color rgb="FFB8C2CC"/>
      </bottom>
      <diagonal/>
    </border>
    <border>
      <left style="medium">
        <color rgb="FF8DB4E2"/>
      </left>
      <right style="thin">
        <color rgb="FF8DB4E2"/>
      </right>
      <top style="medium">
        <color rgb="FF8DB4E2"/>
      </top>
      <bottom style="medium">
        <color rgb="FF8DB4E2"/>
      </bottom>
      <diagonal/>
    </border>
    <border>
      <left style="thin">
        <color rgb="FF8DB4E2"/>
      </left>
      <right style="thin">
        <color rgb="FF8DB4E2"/>
      </right>
      <top style="medium">
        <color rgb="FF8DB4E2"/>
      </top>
      <bottom style="medium">
        <color rgb="FF8DB4E2"/>
      </bottom>
      <diagonal/>
    </border>
    <border>
      <left style="thin">
        <color rgb="FF8DB4E2"/>
      </left>
      <right style="medium">
        <color rgb="FF8DB4E2"/>
      </right>
      <top style="medium">
        <color rgb="FF8DB4E2"/>
      </top>
      <bottom style="medium">
        <color rgb="FF8DB4E2"/>
      </bottom>
      <diagonal/>
    </border>
    <border>
      <left style="medium">
        <color rgb="FF8DB4E2"/>
      </left>
      <right style="thin">
        <color rgb="FFD5DEE8"/>
      </right>
      <top style="medium">
        <color rgb="FF8DB4E2"/>
      </top>
      <bottom style="thin">
        <color rgb="FFD5DEE8"/>
      </bottom>
      <diagonal/>
    </border>
    <border>
      <left style="thin">
        <color rgb="FFD5DEE8"/>
      </left>
      <right style="thin">
        <color rgb="FFD5DEE8"/>
      </right>
      <top style="medium">
        <color rgb="FF8DB4E2"/>
      </top>
      <bottom style="thin">
        <color rgb="FFD5DEE8"/>
      </bottom>
      <diagonal/>
    </border>
    <border>
      <left style="thin">
        <color rgb="FFD5DEE8"/>
      </left>
      <right style="medium">
        <color rgb="FF8DB4E2"/>
      </right>
      <top style="medium">
        <color rgb="FF8DB4E2"/>
      </top>
      <bottom style="thin">
        <color rgb="FFD5DEE8"/>
      </bottom>
      <diagonal/>
    </border>
    <border>
      <left style="medium">
        <color rgb="FF8DB4E2"/>
      </left>
      <right style="thin">
        <color rgb="FFD5DEE8"/>
      </right>
      <top style="thin">
        <color rgb="FFD5DEE8"/>
      </top>
      <bottom style="thin">
        <color rgb="FFD5DEE8"/>
      </bottom>
      <diagonal/>
    </border>
    <border>
      <left style="thin">
        <color rgb="FFD5DEE8"/>
      </left>
      <right style="thin">
        <color rgb="FFD5DEE8"/>
      </right>
      <top style="thin">
        <color rgb="FFD5DEE8"/>
      </top>
      <bottom style="thin">
        <color rgb="FFD5DEE8"/>
      </bottom>
      <diagonal/>
    </border>
    <border>
      <left style="thin">
        <color rgb="FFD5DEE8"/>
      </left>
      <right style="medium">
        <color rgb="FF8DB4E2"/>
      </right>
      <top style="thin">
        <color rgb="FFD5DEE8"/>
      </top>
      <bottom style="thin">
        <color rgb="FFD5DEE8"/>
      </bottom>
      <diagonal/>
    </border>
    <border>
      <left style="medium">
        <color rgb="FF8DB4E2"/>
      </left>
      <right style="thin">
        <color rgb="FFD5DEE8"/>
      </right>
      <top style="thin">
        <color rgb="FFD5DEE8"/>
      </top>
      <bottom style="medium">
        <color rgb="FF8DB4E2"/>
      </bottom>
      <diagonal/>
    </border>
    <border>
      <left style="thin">
        <color rgb="FFD5DEE8"/>
      </left>
      <right style="thin">
        <color rgb="FFD5DEE8"/>
      </right>
      <top style="thin">
        <color rgb="FFD5DEE8"/>
      </top>
      <bottom style="medium">
        <color rgb="FF8DB4E2"/>
      </bottom>
      <diagonal/>
    </border>
    <border>
      <left style="thin">
        <color rgb="FFD5DEE8"/>
      </left>
      <right style="medium">
        <color rgb="FF8DB4E2"/>
      </right>
      <top style="thin">
        <color rgb="FFD5DEE8"/>
      </top>
      <bottom style="medium">
        <color rgb="FF8DB4E2"/>
      </bottom>
      <diagonal/>
    </border>
    <border>
      <left style="thin">
        <color rgb="FFD5DEE8"/>
      </left>
      <right/>
      <top style="thin">
        <color rgb="FFD5DEE8"/>
      </top>
      <bottom style="thin">
        <color rgb="FFD5DEE8"/>
      </bottom>
      <diagonal/>
    </border>
    <border>
      <left/>
      <right/>
      <top style="thin">
        <color rgb="FFD5DEE8"/>
      </top>
      <bottom style="thin">
        <color rgb="FFD5DEE8"/>
      </bottom>
      <diagonal/>
    </border>
    <border>
      <left/>
      <right style="thin">
        <color rgb="FFD5DEE8"/>
      </right>
      <top style="thin">
        <color rgb="FFD5DEE8"/>
      </top>
      <bottom style="thin">
        <color rgb="FFD5DEE8"/>
      </bottom>
      <diagonal/>
    </border>
    <border>
      <left style="thin">
        <color theme="4" tint="0.39994506668294322"/>
      </left>
      <right/>
      <top style="thin">
        <color theme="4" tint="0.39994506668294322"/>
      </top>
      <bottom style="thin">
        <color auto="1"/>
      </bottom>
      <diagonal/>
    </border>
    <border>
      <left/>
      <right/>
      <top style="thin">
        <color theme="4" tint="0.39994506668294322"/>
      </top>
      <bottom style="thin">
        <color auto="1"/>
      </bottom>
      <diagonal/>
    </border>
    <border>
      <left style="thin">
        <color theme="3" tint="0.749961851863155"/>
      </left>
      <right style="thin">
        <color theme="3" tint="0.749961851863155"/>
      </right>
      <top style="thin">
        <color theme="3" tint="0.749961851863155"/>
      </top>
      <bottom style="thin">
        <color theme="3" tint="0.749961851863155"/>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rgb="FFD5DEE8"/>
      </left>
      <right style="thin">
        <color rgb="FFD5DEE8"/>
      </right>
      <top style="thin">
        <color rgb="FFD5DEE8"/>
      </top>
      <bottom/>
      <diagonal/>
    </border>
    <border>
      <left style="thin">
        <color auto="1"/>
      </left>
      <right/>
      <top/>
      <bottom/>
      <diagonal/>
    </border>
    <border>
      <left style="thin">
        <color theme="4" tint="0.39994506668294322"/>
      </left>
      <right/>
      <top/>
      <bottom style="thin">
        <color auto="1"/>
      </bottom>
      <diagonal/>
    </border>
    <border>
      <left style="thin">
        <color rgb="FFD5DEE8"/>
      </left>
      <right style="thin">
        <color rgb="FFD5DEE8"/>
      </right>
      <top/>
      <bottom style="thin">
        <color rgb="FFD5DEE8"/>
      </bottom>
      <diagonal/>
    </border>
    <border>
      <left style="thin">
        <color theme="0"/>
      </left>
      <right style="thin">
        <color theme="0"/>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rgb="FFD5DEE8"/>
      </left>
      <right/>
      <top/>
      <bottom/>
      <diagonal/>
    </border>
    <border>
      <left/>
      <right style="thin">
        <color rgb="FFD5DEE8"/>
      </right>
      <top/>
      <bottom/>
      <diagonal/>
    </border>
    <border>
      <left style="thin">
        <color rgb="FFD5DEE8"/>
      </left>
      <right/>
      <top/>
      <bottom style="thin">
        <color rgb="FFD5DEE8"/>
      </bottom>
      <diagonal/>
    </border>
    <border>
      <left/>
      <right/>
      <top/>
      <bottom style="thin">
        <color rgb="FFD5DEE8"/>
      </bottom>
      <diagonal/>
    </border>
    <border>
      <left/>
      <right style="thin">
        <color rgb="FFD5DEE8"/>
      </right>
      <top/>
      <bottom style="thin">
        <color rgb="FFD5DEE8"/>
      </bottom>
      <diagonal/>
    </border>
    <border>
      <left style="thin">
        <color rgb="FFD5DEE8"/>
      </left>
      <right style="thin">
        <color rgb="FFD5DEE8"/>
      </right>
      <top style="medium">
        <color rgb="FF1E3A5F"/>
      </top>
      <bottom style="thin">
        <color rgb="FFD5DEE8"/>
      </bottom>
      <diagonal/>
    </border>
    <border>
      <left style="thin">
        <color rgb="FFD5DEE8"/>
      </left>
      <right/>
      <top style="thin">
        <color theme="0"/>
      </top>
      <bottom/>
      <diagonal/>
    </border>
    <border>
      <left/>
      <right/>
      <top style="thin">
        <color theme="0"/>
      </top>
      <bottom/>
      <diagonal/>
    </border>
    <border>
      <left style="thin">
        <color rgb="FFD5DEE8"/>
      </left>
      <right/>
      <top style="thin">
        <color rgb="FFD5DEE8"/>
      </top>
      <bottom style="medium">
        <color rgb="FF1E3A5F"/>
      </bottom>
      <diagonal/>
    </border>
    <border>
      <left/>
      <right style="thin">
        <color rgb="FFD5DEE8"/>
      </right>
      <top style="thin">
        <color rgb="FFD5DEE8"/>
      </top>
      <bottom style="medium">
        <color rgb="FF1E3A5F"/>
      </bottom>
      <diagonal/>
    </border>
    <border>
      <left/>
      <right/>
      <top style="thin">
        <color rgb="FFD5DEE8"/>
      </top>
      <bottom style="medium">
        <color rgb="FF1E3A5F"/>
      </bottom>
      <diagonal/>
    </border>
    <border>
      <left style="thin">
        <color rgb="FFD5DEE8"/>
      </left>
      <right style="thin">
        <color rgb="FFD5DEE8"/>
      </right>
      <top style="medium">
        <color rgb="FF1E3A5F"/>
      </top>
      <bottom/>
      <diagonal/>
    </border>
    <border>
      <left style="thin">
        <color rgb="FFD5DEE8"/>
      </left>
      <right style="thin">
        <color rgb="FFD5DEE8"/>
      </right>
      <top/>
      <bottom/>
      <diagonal/>
    </border>
    <border>
      <left style="medium">
        <color rgb="FF8DB4E2"/>
      </left>
      <right/>
      <top style="medium">
        <color rgb="FF8DB4E2"/>
      </top>
      <bottom style="medium">
        <color rgb="FF8DB4E2"/>
      </bottom>
      <diagonal/>
    </border>
    <border>
      <left/>
      <right/>
      <top style="medium">
        <color rgb="FF8DB4E2"/>
      </top>
      <bottom style="medium">
        <color rgb="FF8DB4E2"/>
      </bottom>
      <diagonal/>
    </border>
    <border>
      <left/>
      <right style="medium">
        <color rgb="FF8DB4E2"/>
      </right>
      <top style="medium">
        <color rgb="FF8DB4E2"/>
      </top>
      <bottom style="medium">
        <color rgb="FF8DB4E2"/>
      </bottom>
      <diagonal/>
    </border>
    <border>
      <left style="thin">
        <color rgb="FFD5DEE8"/>
      </left>
      <right/>
      <top style="medium">
        <color rgb="FF8DB4E2"/>
      </top>
      <bottom style="thin">
        <color rgb="FFD5DEE8"/>
      </bottom>
      <diagonal/>
    </border>
    <border>
      <left/>
      <right style="thin">
        <color rgb="FFD5DEE8"/>
      </right>
      <top style="medium">
        <color rgb="FF8DB4E2"/>
      </top>
      <bottom style="thin">
        <color rgb="FFD5DEE8"/>
      </bottom>
      <diagonal/>
    </border>
    <border>
      <left/>
      <right/>
      <top style="medium">
        <color rgb="FF8DB4E2"/>
      </top>
      <bottom style="thin">
        <color rgb="FFD5DEE8"/>
      </bottom>
      <diagonal/>
    </border>
    <border>
      <left/>
      <right style="medium">
        <color rgb="FF8DB4E2"/>
      </right>
      <top style="medium">
        <color rgb="FF8DB4E2"/>
      </top>
      <bottom style="thin">
        <color rgb="FFD5DEE8"/>
      </bottom>
      <diagonal/>
    </border>
    <border>
      <left/>
      <right style="medium">
        <color theme="3" tint="0.749961851863155"/>
      </right>
      <top style="thin">
        <color rgb="FFD5DEE8"/>
      </top>
      <bottom style="thin">
        <color rgb="FFD5DEE8"/>
      </bottom>
      <diagonal/>
    </border>
    <border>
      <left/>
      <right style="medium">
        <color rgb="FF8DB4E2"/>
      </right>
      <top/>
      <bottom/>
      <diagonal/>
    </border>
    <border>
      <left/>
      <right style="medium">
        <color rgb="FF8DB4E2"/>
      </right>
      <top style="thin">
        <color rgb="FFD5DEE8"/>
      </top>
      <bottom style="thin">
        <color rgb="FFD5DEE8"/>
      </bottom>
      <diagonal/>
    </border>
    <border>
      <left/>
      <right style="medium">
        <color rgb="FF8DB4E2"/>
      </right>
      <top style="thin">
        <color rgb="FFD5DEE8"/>
      </top>
      <bottom style="medium">
        <color rgb="FF8DB4E2"/>
      </bottom>
      <diagonal/>
    </border>
    <border>
      <left/>
      <right style="medium">
        <color theme="3" tint="0.749961851863155"/>
      </right>
      <top style="thin">
        <color rgb="FFD5DEE8"/>
      </top>
      <bottom style="medium">
        <color rgb="FF1E3A5F"/>
      </bottom>
      <diagonal/>
    </border>
    <border>
      <left style="thin">
        <color rgb="FFD5DEE8"/>
      </left>
      <right/>
      <top style="medium">
        <color rgb="FF1E3A5F"/>
      </top>
      <bottom style="thin">
        <color rgb="FFD5DEE8"/>
      </bottom>
      <diagonal/>
    </border>
    <border>
      <left/>
      <right style="thin">
        <color rgb="FFD5DEE8"/>
      </right>
      <top style="medium">
        <color rgb="FF1E3A5F"/>
      </top>
      <bottom style="thin">
        <color rgb="FFD5DEE8"/>
      </bottom>
      <diagonal/>
    </border>
    <border>
      <left/>
      <right/>
      <top style="medium">
        <color rgb="FF1E3A5F"/>
      </top>
      <bottom style="thin">
        <color rgb="FFD5DEE8"/>
      </bottom>
      <diagonal/>
    </border>
    <border>
      <left style="thin">
        <color rgb="FF4E5D78"/>
      </left>
      <right/>
      <top style="thin">
        <color rgb="FF4E5D78"/>
      </top>
      <bottom style="thin">
        <color rgb="FF4E5D78"/>
      </bottom>
      <diagonal/>
    </border>
    <border>
      <left/>
      <right/>
      <top style="thin">
        <color rgb="FF4E5D78"/>
      </top>
      <bottom style="thin">
        <color rgb="FF4E5D78"/>
      </bottom>
      <diagonal/>
    </border>
    <border>
      <left/>
      <right style="thin">
        <color rgb="FF4E5D78"/>
      </right>
      <top style="thin">
        <color rgb="FF4E5D78"/>
      </top>
      <bottom style="thin">
        <color rgb="FF4E5D78"/>
      </bottom>
      <diagonal/>
    </border>
    <border>
      <left/>
      <right/>
      <top/>
      <bottom style="thick">
        <color rgb="FF5B8FF9"/>
      </bottom>
      <diagonal/>
    </border>
    <border>
      <left style="medium">
        <color rgb="FF8DB4E2"/>
      </left>
      <right/>
      <top style="thick">
        <color rgb="FF5B8FF9"/>
      </top>
      <bottom/>
      <diagonal/>
    </border>
    <border>
      <left/>
      <right/>
      <top style="thick">
        <color rgb="FF5B8FF9"/>
      </top>
      <bottom/>
      <diagonal/>
    </border>
    <border>
      <left style="medium">
        <color rgb="FF8DB4E2"/>
      </left>
      <right/>
      <top style="thick">
        <color rgb="FF5B8FF9"/>
      </top>
      <bottom style="medium">
        <color rgb="FF8DB4E2"/>
      </bottom>
      <diagonal/>
    </border>
    <border>
      <left/>
      <right/>
      <top style="thick">
        <color rgb="FF5B8FF9"/>
      </top>
      <bottom style="medium">
        <color rgb="FF8DB4E2"/>
      </bottom>
      <diagonal/>
    </border>
    <border>
      <left/>
      <right style="medium">
        <color rgb="FF8DB4E2"/>
      </right>
      <top style="thick">
        <color rgb="FF5B8FF9"/>
      </top>
      <bottom style="medium">
        <color rgb="FF8DB4E2"/>
      </bottom>
      <diagonal/>
    </border>
    <border>
      <left style="medium">
        <color rgb="FF8DB4E2"/>
      </left>
      <right/>
      <top/>
      <bottom style="medium">
        <color rgb="FF8DB4E2"/>
      </bottom>
      <diagonal/>
    </border>
    <border>
      <left/>
      <right/>
      <top/>
      <bottom style="medium">
        <color rgb="FF8DB4E2"/>
      </bottom>
      <diagonal/>
    </border>
    <border>
      <left style="thin">
        <color theme="3" tint="0.749961851863155"/>
      </left>
      <right style="thin">
        <color theme="3" tint="0.749961851863155"/>
      </right>
      <top style="medium">
        <color rgb="FF8DB4E2"/>
      </top>
      <bottom/>
      <diagonal/>
    </border>
    <border>
      <left style="thin">
        <color auto="1"/>
      </left>
      <right/>
      <top style="thin">
        <color auto="1"/>
      </top>
      <bottom style="thin">
        <color auto="1"/>
      </bottom>
      <diagonal/>
    </border>
    <border>
      <left style="thin">
        <color theme="3" tint="0.749961851863155"/>
      </left>
      <right style="thin">
        <color theme="3" tint="0.749961851863155"/>
      </right>
      <top/>
      <bottom style="thin">
        <color theme="3" tint="0.749961851863155"/>
      </bottom>
      <diagonal/>
    </border>
    <border>
      <left/>
      <right/>
      <top style="thin">
        <color theme="3" tint="0.749961851863155"/>
      </top>
      <bottom/>
      <diagonal/>
    </border>
    <border>
      <left style="thin">
        <color rgb="FF4E5D78"/>
      </left>
      <right style="thin">
        <color rgb="FF4E5D78"/>
      </right>
      <top style="thin">
        <color rgb="FF4E5D78"/>
      </top>
      <bottom style="thin">
        <color rgb="FF4E5D78"/>
      </bottom>
      <diagonal/>
    </border>
    <border>
      <left style="medium">
        <color rgb="FF8DB4E2"/>
      </left>
      <right/>
      <top style="medium">
        <color rgb="FF8DB4E2"/>
      </top>
      <bottom/>
      <diagonal/>
    </border>
    <border>
      <left/>
      <right style="thin">
        <color rgb="FFD5DEE8"/>
      </right>
      <top style="medium">
        <color rgb="FF8DB4E2"/>
      </top>
      <bottom/>
      <diagonal/>
    </border>
    <border>
      <left style="medium">
        <color rgb="FF8DB4E2"/>
      </left>
      <right/>
      <top/>
      <bottom/>
      <diagonal/>
    </border>
    <border>
      <left/>
      <right style="thin">
        <color rgb="FFD5DEE8"/>
      </right>
      <top/>
      <bottom style="medium">
        <color rgb="FF8DB4E2"/>
      </bottom>
      <diagonal/>
    </border>
    <border>
      <left style="thin">
        <color rgb="FFD5DEE8"/>
      </left>
      <right/>
      <top style="thin">
        <color rgb="FFD5DEE8"/>
      </top>
      <bottom style="medium">
        <color rgb="FF8DB4E2"/>
      </bottom>
      <diagonal/>
    </border>
    <border>
      <left style="thin">
        <color rgb="FF4E5D78"/>
      </left>
      <right style="thin">
        <color rgb="FF4E5D78"/>
      </right>
      <top/>
      <bottom style="thin">
        <color rgb="FF4E5D78"/>
      </bottom>
      <diagonal/>
    </border>
    <border>
      <left style="thin">
        <color rgb="FF4E5D78"/>
      </left>
      <right/>
      <top style="thin">
        <color rgb="FF4E5D78"/>
      </top>
      <bottom/>
      <diagonal/>
    </border>
    <border>
      <left style="thin">
        <color rgb="FF4E5D78"/>
      </left>
      <right style="thin">
        <color rgb="FF4E5D78"/>
      </right>
      <top style="thin">
        <color rgb="FF4E5D78"/>
      </top>
      <bottom/>
      <diagonal/>
    </border>
    <border>
      <left/>
      <right style="thin">
        <color rgb="FF4E5D78"/>
      </right>
      <top style="thin">
        <color rgb="FF4E5D78"/>
      </top>
      <bottom/>
      <diagonal/>
    </border>
    <border>
      <left style="thin">
        <color auto="1"/>
      </left>
      <right style="thin">
        <color auto="1"/>
      </right>
      <top style="thin">
        <color auto="1"/>
      </top>
      <bottom/>
      <diagonal/>
    </border>
    <border>
      <left style="thin">
        <color rgb="FFD5DEE8"/>
      </left>
      <right/>
      <top style="thin">
        <color indexed="64"/>
      </top>
      <bottom/>
      <diagonal/>
    </border>
    <border>
      <left/>
      <right/>
      <top style="thin">
        <color indexed="64"/>
      </top>
      <bottom/>
      <diagonal/>
    </border>
    <border>
      <left/>
      <right style="thin">
        <color rgb="FFD5DEE8"/>
      </right>
      <top style="thin">
        <color indexed="64"/>
      </top>
      <bottom/>
      <diagonal/>
    </border>
    <border>
      <left style="thin">
        <color rgb="FF4E5D78"/>
      </left>
      <right/>
      <top style="thin">
        <color rgb="FF4E5D78"/>
      </top>
      <bottom style="medium">
        <color indexed="64"/>
      </bottom>
      <diagonal/>
    </border>
    <border>
      <left style="thin">
        <color auto="1"/>
      </left>
      <right style="thin">
        <color auto="1"/>
      </right>
      <top style="thin">
        <color auto="1"/>
      </top>
      <bottom style="medium">
        <color indexed="64"/>
      </bottom>
      <diagonal/>
    </border>
    <border>
      <left/>
      <right style="thin">
        <color rgb="FF4E5D78"/>
      </right>
      <top style="thin">
        <color rgb="FF4E5D78"/>
      </top>
      <bottom style="medium">
        <color indexed="64"/>
      </bottom>
      <diagonal/>
    </border>
    <border>
      <left style="thin">
        <color rgb="FF4E5D78"/>
      </left>
      <right style="thin">
        <color auto="1"/>
      </right>
      <top style="thin">
        <color rgb="FF4E5D78"/>
      </top>
      <bottom style="medium">
        <color indexed="64"/>
      </bottom>
      <diagonal/>
    </border>
  </borders>
  <cellStyleXfs count="3">
    <xf numFmtId="0" fontId="0" fillId="0" borderId="0"/>
    <xf numFmtId="9" fontId="53" fillId="0" borderId="0"/>
    <xf numFmtId="0" fontId="43" fillId="0" borderId="0" applyNumberFormat="0" applyFill="0" applyBorder="0" applyAlignment="0" applyProtection="0"/>
  </cellStyleXfs>
  <cellXfs count="339">
    <xf numFmtId="0" fontId="0" fillId="0" borderId="0" xfId="0" applyBorder="1"/>
    <xf numFmtId="0" fontId="0" fillId="0" borderId="0" xfId="0" applyBorder="1" applyAlignment="1">
      <alignment horizontal="center" vertical="center"/>
    </xf>
    <xf numFmtId="0" fontId="2" fillId="2" borderId="0"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0" borderId="2" xfId="0" applyFont="1" applyBorder="1" applyAlignment="1">
      <alignment horizontal="center" vertical="center" wrapText="1"/>
    </xf>
    <xf numFmtId="9" fontId="4" fillId="0" borderId="2" xfId="0" applyNumberFormat="1" applyFont="1" applyBorder="1" applyAlignment="1">
      <alignment horizontal="center" vertical="center" wrapText="1"/>
    </xf>
    <xf numFmtId="9" fontId="4" fillId="4" borderId="2" xfId="0" applyNumberFormat="1" applyFont="1" applyFill="1" applyBorder="1" applyAlignment="1">
      <alignment horizontal="center" vertical="center" wrapText="1"/>
    </xf>
    <xf numFmtId="9" fontId="4" fillId="0" borderId="3" xfId="0" applyNumberFormat="1" applyFont="1" applyBorder="1" applyAlignment="1">
      <alignment horizontal="center" vertical="center" wrapText="1"/>
    </xf>
    <xf numFmtId="0" fontId="3" fillId="5" borderId="4" xfId="0" applyFont="1" applyFill="1" applyBorder="1" applyAlignment="1">
      <alignment horizontal="center" vertical="center" wrapText="1"/>
    </xf>
    <xf numFmtId="0" fontId="4" fillId="0" borderId="0" xfId="0" applyFont="1" applyBorder="1" applyAlignment="1">
      <alignment horizontal="center" vertical="center" wrapText="1"/>
    </xf>
    <xf numFmtId="9" fontId="4" fillId="0" borderId="0" xfId="0" applyNumberFormat="1" applyFont="1" applyBorder="1" applyAlignment="1">
      <alignment horizontal="center" vertical="center" wrapText="1"/>
    </xf>
    <xf numFmtId="9" fontId="4" fillId="4" borderId="0" xfId="0" applyNumberFormat="1" applyFont="1" applyFill="1" applyBorder="1" applyAlignment="1">
      <alignment horizontal="center" vertical="center" wrapText="1"/>
    </xf>
    <xf numFmtId="9" fontId="4" fillId="0" borderId="5" xfId="0" applyNumberFormat="1" applyFont="1" applyBorder="1" applyAlignment="1">
      <alignment horizontal="center" vertical="center" wrapText="1"/>
    </xf>
    <xf numFmtId="0" fontId="3" fillId="6" borderId="4" xfId="0" applyFont="1" applyFill="1" applyBorder="1" applyAlignment="1">
      <alignment horizontal="center" vertical="center" wrapText="1"/>
    </xf>
    <xf numFmtId="0" fontId="3" fillId="7" borderId="4" xfId="0" applyFont="1" applyFill="1" applyBorder="1" applyAlignment="1">
      <alignment horizontal="center" vertical="center" wrapText="1"/>
    </xf>
    <xf numFmtId="0" fontId="3" fillId="8" borderId="4" xfId="0" applyFont="1" applyFill="1" applyBorder="1" applyAlignment="1">
      <alignment horizontal="center" vertical="center" wrapText="1"/>
    </xf>
    <xf numFmtId="0" fontId="3" fillId="9" borderId="4" xfId="0" applyFont="1" applyFill="1" applyBorder="1" applyAlignment="1">
      <alignment horizontal="center" vertical="center" wrapText="1"/>
    </xf>
    <xf numFmtId="0" fontId="3" fillId="10" borderId="4" xfId="0" applyFont="1" applyFill="1" applyBorder="1" applyAlignment="1">
      <alignment horizontal="center" vertical="center" wrapText="1"/>
    </xf>
    <xf numFmtId="0" fontId="3" fillId="11" borderId="6" xfId="0" applyFont="1" applyFill="1" applyBorder="1" applyAlignment="1">
      <alignment horizontal="center" vertical="center" wrapText="1"/>
    </xf>
    <xf numFmtId="0" fontId="4" fillId="0" borderId="7" xfId="0" applyFont="1" applyBorder="1" applyAlignment="1">
      <alignment horizontal="center" vertical="center" wrapText="1"/>
    </xf>
    <xf numFmtId="9" fontId="4" fillId="0" borderId="7" xfId="0" applyNumberFormat="1" applyFont="1" applyBorder="1" applyAlignment="1">
      <alignment horizontal="center" vertical="center" wrapText="1"/>
    </xf>
    <xf numFmtId="9" fontId="4" fillId="4" borderId="7" xfId="0" applyNumberFormat="1" applyFont="1" applyFill="1" applyBorder="1" applyAlignment="1">
      <alignment horizontal="center" vertical="center" wrapText="1"/>
    </xf>
    <xf numFmtId="9" fontId="4" fillId="0" borderId="8" xfId="0" applyNumberFormat="1" applyFont="1" applyBorder="1" applyAlignment="1">
      <alignment horizontal="center" vertical="center" wrapText="1"/>
    </xf>
    <xf numFmtId="1" fontId="7" fillId="13" borderId="12" xfId="0" applyNumberFormat="1" applyFont="1" applyFill="1" applyBorder="1" applyAlignment="1">
      <alignment horizontal="center" vertical="center" wrapText="1"/>
    </xf>
    <xf numFmtId="1" fontId="8" fillId="13" borderId="13" xfId="0" applyNumberFormat="1" applyFont="1" applyFill="1" applyBorder="1" applyAlignment="1">
      <alignment horizontal="center" vertical="center" wrapText="1"/>
    </xf>
    <xf numFmtId="1" fontId="9" fillId="13" borderId="14" xfId="0" applyNumberFormat="1" applyFont="1" applyFill="1" applyBorder="1" applyAlignment="1">
      <alignment horizontal="center" vertical="center" wrapText="1"/>
    </xf>
    <xf numFmtId="1" fontId="7" fillId="13" borderId="15" xfId="0" applyNumberFormat="1" applyFont="1" applyFill="1" applyBorder="1" applyAlignment="1">
      <alignment horizontal="center" vertical="center" wrapText="1"/>
    </xf>
    <xf numFmtId="1" fontId="8" fillId="13" borderId="16" xfId="0" applyNumberFormat="1" applyFont="1" applyFill="1" applyBorder="1" applyAlignment="1">
      <alignment horizontal="center" vertical="center" wrapText="1"/>
    </xf>
    <xf numFmtId="1" fontId="10" fillId="13" borderId="17" xfId="0" applyNumberFormat="1" applyFont="1" applyFill="1" applyBorder="1" applyAlignment="1">
      <alignment horizontal="center" vertical="center" wrapText="1"/>
    </xf>
    <xf numFmtId="1" fontId="8" fillId="13" borderId="17" xfId="0" applyNumberFormat="1" applyFont="1" applyFill="1" applyBorder="1" applyAlignment="1">
      <alignment horizontal="center" vertical="center" wrapText="1"/>
    </xf>
    <xf numFmtId="1" fontId="7" fillId="13" borderId="18" xfId="0" applyNumberFormat="1" applyFont="1" applyFill="1" applyBorder="1" applyAlignment="1">
      <alignment horizontal="center" vertical="center" wrapText="1"/>
    </xf>
    <xf numFmtId="1" fontId="8" fillId="13" borderId="19" xfId="0" applyNumberFormat="1" applyFont="1" applyFill="1" applyBorder="1" applyAlignment="1">
      <alignment horizontal="center" vertical="center" wrapText="1"/>
    </xf>
    <xf numFmtId="1" fontId="8" fillId="13" borderId="20" xfId="0" applyNumberFormat="1" applyFont="1" applyFill="1" applyBorder="1" applyAlignment="1">
      <alignment horizontal="center" vertical="center" wrapText="1"/>
    </xf>
    <xf numFmtId="0" fontId="6" fillId="0" borderId="0" xfId="0" applyFont="1" applyAlignment="1">
      <alignment horizontal="left" vertical="center"/>
    </xf>
    <xf numFmtId="0" fontId="4" fillId="0" borderId="0" xfId="0" applyFont="1" applyBorder="1" applyAlignment="1">
      <alignment horizontal="left" vertical="center"/>
    </xf>
    <xf numFmtId="0" fontId="6" fillId="0" borderId="0" xfId="0" applyFont="1" applyBorder="1" applyAlignment="1">
      <alignment horizontal="left" vertical="center"/>
    </xf>
    <xf numFmtId="0" fontId="6" fillId="0" borderId="0" xfId="0" applyFont="1" applyBorder="1" applyAlignment="1">
      <alignment horizontal="center" vertical="center"/>
    </xf>
    <xf numFmtId="0" fontId="6" fillId="0" borderId="0" xfId="0" applyFont="1" applyAlignment="1">
      <alignment horizontal="center" vertical="center"/>
    </xf>
    <xf numFmtId="0" fontId="11" fillId="14" borderId="16" xfId="0" applyFont="1" applyFill="1" applyBorder="1" applyAlignment="1">
      <alignment horizontal="center" vertical="center" wrapText="1"/>
    </xf>
    <xf numFmtId="0" fontId="15" fillId="16" borderId="26" xfId="0" applyFont="1" applyFill="1" applyBorder="1" applyAlignment="1">
      <alignment horizontal="center" vertical="center" wrapText="1"/>
    </xf>
    <xf numFmtId="0" fontId="4" fillId="0" borderId="27" xfId="0" applyFont="1" applyBorder="1" applyAlignment="1">
      <alignment horizontal="left" vertical="center"/>
    </xf>
    <xf numFmtId="0" fontId="4" fillId="0" borderId="28" xfId="0" applyFont="1" applyBorder="1" applyAlignment="1">
      <alignment horizontal="center" vertical="center"/>
    </xf>
    <xf numFmtId="0" fontId="4" fillId="0" borderId="27" xfId="0" applyFont="1" applyBorder="1" applyAlignment="1">
      <alignment horizontal="left" vertical="center" wrapText="1"/>
    </xf>
    <xf numFmtId="0" fontId="15" fillId="18" borderId="26" xfId="0" applyFont="1" applyFill="1" applyBorder="1" applyAlignment="1">
      <alignment horizontal="center" vertical="center" wrapText="1"/>
    </xf>
    <xf numFmtId="0" fontId="4" fillId="0" borderId="27" xfId="0" applyFont="1" applyBorder="1" applyAlignment="1">
      <alignment vertical="center" wrapText="1"/>
    </xf>
    <xf numFmtId="0" fontId="17" fillId="0" borderId="0" xfId="0" applyFont="1" applyAlignment="1">
      <alignment vertical="center" wrapText="1"/>
    </xf>
    <xf numFmtId="0" fontId="15" fillId="20" borderId="26" xfId="0" applyFont="1" applyFill="1" applyBorder="1" applyAlignment="1">
      <alignment horizontal="center" vertical="center" wrapText="1"/>
    </xf>
    <xf numFmtId="0" fontId="18" fillId="0" borderId="27" xfId="0" applyFont="1" applyBorder="1" applyAlignment="1">
      <alignment vertical="center" wrapText="1"/>
    </xf>
    <xf numFmtId="0" fontId="18" fillId="0" borderId="28" xfId="0" applyFont="1" applyBorder="1" applyAlignment="1">
      <alignment horizontal="center" vertical="center" wrapText="1"/>
    </xf>
    <xf numFmtId="0" fontId="15" fillId="22" borderId="26" xfId="0" applyFont="1" applyFill="1" applyBorder="1" applyAlignment="1">
      <alignment horizontal="center" vertical="center" wrapText="1"/>
    </xf>
    <xf numFmtId="0" fontId="19" fillId="0" borderId="7" xfId="0" applyFont="1" applyBorder="1" applyAlignment="1">
      <alignment vertical="center" wrapText="1"/>
    </xf>
    <xf numFmtId="0" fontId="19" fillId="22" borderId="26" xfId="0" applyFont="1" applyFill="1" applyBorder="1" applyAlignment="1">
      <alignment horizontal="center" vertical="center" wrapText="1"/>
    </xf>
    <xf numFmtId="0" fontId="4" fillId="0" borderId="28" xfId="0" applyFont="1" applyBorder="1" applyAlignment="1">
      <alignment horizontal="center" vertical="center" wrapText="1"/>
    </xf>
    <xf numFmtId="0" fontId="15" fillId="0" borderId="29" xfId="0" applyFont="1" applyBorder="1" applyAlignment="1">
      <alignment horizontal="center" vertical="center" wrapText="1"/>
    </xf>
    <xf numFmtId="0" fontId="11" fillId="14" borderId="30" xfId="0" applyFont="1" applyFill="1" applyBorder="1" applyAlignment="1">
      <alignment horizontal="center" vertical="center" wrapText="1"/>
    </xf>
    <xf numFmtId="0" fontId="6" fillId="0" borderId="28" xfId="0" applyFont="1" applyBorder="1" applyAlignment="1">
      <alignment horizontal="left" vertical="center"/>
    </xf>
    <xf numFmtId="0" fontId="4" fillId="0" borderId="28" xfId="0" applyFont="1" applyBorder="1" applyAlignment="1">
      <alignment wrapText="1"/>
    </xf>
    <xf numFmtId="0" fontId="6" fillId="0" borderId="28" xfId="0" applyFont="1" applyBorder="1" applyAlignment="1">
      <alignment horizontal="center" vertical="center"/>
    </xf>
    <xf numFmtId="0" fontId="20" fillId="0" borderId="0" xfId="0" applyFont="1" applyBorder="1" applyAlignment="1">
      <alignment horizontal="right" vertical="center" wrapText="1"/>
    </xf>
    <xf numFmtId="0" fontId="0" fillId="0" borderId="0" xfId="0" applyBorder="1" applyAlignment="1">
      <alignment horizontal="right" vertical="center" wrapText="1"/>
    </xf>
    <xf numFmtId="0" fontId="13" fillId="0" borderId="28" xfId="0" applyFont="1" applyBorder="1" applyAlignment="1">
      <alignment vertical="center" wrapText="1"/>
    </xf>
    <xf numFmtId="0" fontId="4" fillId="0" borderId="27" xfId="0" applyFont="1" applyBorder="1" applyAlignment="1">
      <alignment horizontal="center" vertical="center" wrapText="1"/>
    </xf>
    <xf numFmtId="0" fontId="4" fillId="0" borderId="28" xfId="0" applyFont="1" applyBorder="1" applyAlignment="1">
      <alignment vertical="center" wrapText="1"/>
    </xf>
    <xf numFmtId="0" fontId="21" fillId="0" borderId="0" xfId="0" applyFont="1"/>
    <xf numFmtId="0" fontId="21" fillId="0" borderId="0" xfId="0" applyFont="1" applyBorder="1"/>
    <xf numFmtId="0" fontId="23" fillId="23" borderId="0" xfId="0" applyFont="1" applyFill="1" applyAlignment="1">
      <alignment horizontal="center" vertical="center"/>
    </xf>
    <xf numFmtId="0" fontId="25" fillId="0" borderId="23" xfId="0" applyFont="1" applyBorder="1"/>
    <xf numFmtId="0" fontId="25" fillId="24" borderId="0" xfId="0" applyFont="1" applyFill="1"/>
    <xf numFmtId="0" fontId="25" fillId="0" borderId="33" xfId="0" applyFont="1" applyBorder="1" applyAlignment="1">
      <alignment vertical="center"/>
    </xf>
    <xf numFmtId="0" fontId="25" fillId="0" borderId="33" xfId="0" applyFont="1" applyBorder="1"/>
    <xf numFmtId="0" fontId="25" fillId="0" borderId="16" xfId="0" applyFont="1" applyBorder="1"/>
    <xf numFmtId="0" fontId="23" fillId="23" borderId="0" xfId="0" applyFont="1" applyFill="1" applyBorder="1" applyAlignment="1">
      <alignment horizontal="center" vertical="center"/>
    </xf>
    <xf numFmtId="0" fontId="25" fillId="0" borderId="16" xfId="0" applyFont="1" applyBorder="1" applyAlignment="1">
      <alignment vertical="center"/>
    </xf>
    <xf numFmtId="0" fontId="25" fillId="27" borderId="16" xfId="0" applyFont="1" applyFill="1" applyBorder="1" applyAlignment="1">
      <alignment horizontal="center" vertical="center" wrapText="1"/>
    </xf>
    <xf numFmtId="0" fontId="25" fillId="27" borderId="16" xfId="0" applyFont="1" applyFill="1" applyBorder="1" applyAlignment="1">
      <alignment vertical="center" wrapText="1"/>
    </xf>
    <xf numFmtId="0" fontId="25" fillId="27" borderId="16" xfId="0" applyFont="1" applyFill="1" applyBorder="1"/>
    <xf numFmtId="1" fontId="7" fillId="13" borderId="16" xfId="0" applyNumberFormat="1" applyFont="1" applyFill="1" applyBorder="1" applyAlignment="1">
      <alignment horizontal="center" vertical="center" wrapText="1"/>
    </xf>
    <xf numFmtId="2" fontId="7" fillId="13" borderId="16" xfId="0" applyNumberFormat="1" applyFont="1" applyFill="1" applyBorder="1" applyAlignment="1">
      <alignment horizontal="center" vertical="center" wrapText="1"/>
    </xf>
    <xf numFmtId="0" fontId="29" fillId="28" borderId="42" xfId="0" applyFont="1" applyFill="1" applyBorder="1" applyAlignment="1">
      <alignment horizontal="center" vertical="center" wrapText="1"/>
    </xf>
    <xf numFmtId="0" fontId="29" fillId="28" borderId="42" xfId="0" applyFont="1" applyFill="1" applyBorder="1"/>
    <xf numFmtId="164" fontId="29" fillId="28" borderId="42" xfId="0" applyNumberFormat="1" applyFont="1" applyFill="1" applyBorder="1" applyAlignment="1">
      <alignment horizontal="center" vertical="center" wrapText="1"/>
    </xf>
    <xf numFmtId="0" fontId="25" fillId="13" borderId="16" xfId="0" applyFont="1" applyFill="1" applyBorder="1" applyAlignment="1">
      <alignment vertical="center" wrapText="1"/>
    </xf>
    <xf numFmtId="0" fontId="25" fillId="13" borderId="16" xfId="0" applyFont="1" applyFill="1" applyBorder="1"/>
    <xf numFmtId="0" fontId="11" fillId="14" borderId="22" xfId="0" applyFont="1" applyFill="1" applyBorder="1" applyAlignment="1">
      <alignment vertical="center" wrapText="1"/>
    </xf>
    <xf numFmtId="0" fontId="25" fillId="27" borderId="23" xfId="0" applyFont="1" applyFill="1" applyBorder="1" applyAlignment="1">
      <alignment vertical="center" wrapText="1"/>
    </xf>
    <xf numFmtId="9" fontId="25" fillId="27" borderId="16" xfId="0" applyNumberFormat="1" applyFont="1" applyFill="1" applyBorder="1" applyAlignment="1">
      <alignment horizontal="center" vertical="center" wrapText="1"/>
    </xf>
    <xf numFmtId="2" fontId="30" fillId="27" borderId="16" xfId="0" applyNumberFormat="1" applyFont="1" applyFill="1" applyBorder="1" applyAlignment="1">
      <alignment horizontal="center" vertical="center" wrapText="1"/>
    </xf>
    <xf numFmtId="0" fontId="25" fillId="13" borderId="16" xfId="0" applyFont="1" applyFill="1" applyBorder="1" applyAlignment="1">
      <alignment horizontal="center" vertical="center" wrapText="1"/>
    </xf>
    <xf numFmtId="0" fontId="25" fillId="13" borderId="23" xfId="0" applyFont="1" applyFill="1" applyBorder="1" applyAlignment="1">
      <alignment vertical="center" wrapText="1"/>
    </xf>
    <xf numFmtId="9" fontId="25" fillId="13" borderId="16" xfId="0" applyNumberFormat="1" applyFont="1" applyFill="1" applyBorder="1" applyAlignment="1">
      <alignment horizontal="center" vertical="center" wrapText="1"/>
    </xf>
    <xf numFmtId="2" fontId="30" fillId="13" borderId="16" xfId="0" applyNumberFormat="1" applyFont="1" applyFill="1" applyBorder="1" applyAlignment="1">
      <alignment horizontal="center" vertical="center" wrapText="1"/>
    </xf>
    <xf numFmtId="2" fontId="29" fillId="28" borderId="42" xfId="0" applyNumberFormat="1" applyFont="1" applyFill="1" applyBorder="1" applyAlignment="1">
      <alignment horizontal="center" vertical="center" wrapText="1"/>
    </xf>
    <xf numFmtId="9" fontId="29" fillId="28" borderId="48" xfId="0" applyNumberFormat="1" applyFont="1" applyFill="1" applyBorder="1" applyAlignment="1">
      <alignment vertical="center" wrapText="1"/>
    </xf>
    <xf numFmtId="0" fontId="29" fillId="0" borderId="0" xfId="0" applyFont="1" applyAlignment="1">
      <alignment horizontal="left" vertical="center" wrapText="1"/>
    </xf>
    <xf numFmtId="0" fontId="29" fillId="0" borderId="0" xfId="0" applyFont="1"/>
    <xf numFmtId="9" fontId="29" fillId="0" borderId="0" xfId="0" applyNumberFormat="1" applyFont="1" applyAlignment="1">
      <alignment vertical="center" wrapText="1"/>
    </xf>
    <xf numFmtId="2" fontId="29" fillId="0" borderId="0" xfId="0" applyNumberFormat="1" applyFont="1" applyAlignment="1">
      <alignment horizontal="center" vertical="center" wrapText="1"/>
    </xf>
    <xf numFmtId="0" fontId="29" fillId="28" borderId="33" xfId="0" applyFont="1" applyFill="1" applyBorder="1"/>
    <xf numFmtId="0" fontId="25" fillId="13" borderId="49" xfId="0" applyFont="1" applyFill="1" applyBorder="1" applyAlignment="1">
      <alignment vertical="center" wrapText="1"/>
    </xf>
    <xf numFmtId="0" fontId="25" fillId="13" borderId="30" xfId="0" applyFont="1" applyFill="1" applyBorder="1" applyAlignment="1">
      <alignment vertical="center" wrapText="1"/>
    </xf>
    <xf numFmtId="1" fontId="9" fillId="13" borderId="13" xfId="0" applyNumberFormat="1" applyFont="1" applyFill="1" applyBorder="1" applyAlignment="1">
      <alignment horizontal="center" vertical="center" wrapText="1"/>
    </xf>
    <xf numFmtId="0" fontId="31" fillId="27" borderId="56" xfId="0" applyFont="1" applyFill="1" applyBorder="1" applyAlignment="1">
      <alignment horizontal="center" vertical="center" wrapText="1"/>
    </xf>
    <xf numFmtId="1" fontId="10" fillId="13" borderId="16" xfId="0" applyNumberFormat="1" applyFont="1" applyFill="1" applyBorder="1" applyAlignment="1">
      <alignment horizontal="center" vertical="center" wrapText="1"/>
    </xf>
    <xf numFmtId="0" fontId="31" fillId="0" borderId="58" xfId="0" applyFont="1" applyBorder="1" applyAlignment="1">
      <alignment horizontal="center" vertical="center"/>
    </xf>
    <xf numFmtId="1" fontId="7" fillId="27" borderId="16" xfId="0" applyNumberFormat="1" applyFont="1" applyFill="1" applyBorder="1" applyAlignment="1">
      <alignment horizontal="center" vertical="center" wrapText="1"/>
    </xf>
    <xf numFmtId="0" fontId="31" fillId="27" borderId="59" xfId="0" applyFont="1" applyFill="1" applyBorder="1" applyAlignment="1">
      <alignment horizontal="center" vertical="center" wrapText="1"/>
    </xf>
    <xf numFmtId="2" fontId="33" fillId="13" borderId="16" xfId="0" applyNumberFormat="1" applyFont="1" applyFill="1" applyBorder="1" applyAlignment="1">
      <alignment horizontal="center" vertical="center" wrapText="1"/>
    </xf>
    <xf numFmtId="0" fontId="31" fillId="13" borderId="59" xfId="0" applyFont="1" applyFill="1" applyBorder="1" applyAlignment="1">
      <alignment horizontal="center" vertical="center" wrapText="1"/>
    </xf>
    <xf numFmtId="2" fontId="33" fillId="27" borderId="16" xfId="0" applyNumberFormat="1" applyFont="1" applyFill="1" applyBorder="1" applyAlignment="1">
      <alignment horizontal="center" vertical="center" wrapText="1"/>
    </xf>
    <xf numFmtId="0" fontId="34" fillId="27" borderId="60" xfId="0" applyFont="1" applyFill="1" applyBorder="1" applyAlignment="1">
      <alignment horizontal="center" vertical="center" wrapText="1"/>
    </xf>
    <xf numFmtId="0" fontId="25" fillId="13" borderId="33" xfId="0" applyFont="1" applyFill="1" applyBorder="1" applyAlignment="1">
      <alignment vertical="center" wrapText="1"/>
    </xf>
    <xf numFmtId="0" fontId="35" fillId="28" borderId="42" xfId="0" applyFont="1" applyFill="1" applyBorder="1" applyAlignment="1">
      <alignment horizontal="center" vertical="center" wrapText="1"/>
    </xf>
    <xf numFmtId="49" fontId="25" fillId="13" borderId="16" xfId="0" applyNumberFormat="1" applyFont="1" applyFill="1" applyBorder="1" applyAlignment="1">
      <alignment horizontal="center" vertical="center" wrapText="1"/>
    </xf>
    <xf numFmtId="0" fontId="25" fillId="0" borderId="16" xfId="0" applyFont="1" applyBorder="1" applyAlignment="1">
      <alignment horizontal="center" vertical="center" wrapText="1"/>
    </xf>
    <xf numFmtId="0" fontId="28" fillId="0" borderId="16" xfId="0" applyFont="1" applyBorder="1" applyAlignment="1">
      <alignment horizontal="center" vertical="center" wrapText="1"/>
    </xf>
    <xf numFmtId="0" fontId="25" fillId="29" borderId="16" xfId="0" applyFont="1" applyFill="1" applyBorder="1" applyAlignment="1">
      <alignment horizontal="center" vertical="center" wrapText="1"/>
    </xf>
    <xf numFmtId="0" fontId="25" fillId="0" borderId="16" xfId="0" applyFont="1" applyBorder="1" applyAlignment="1">
      <alignment vertical="center" wrapText="1"/>
    </xf>
    <xf numFmtId="0" fontId="25" fillId="0" borderId="16" xfId="0" applyFont="1" applyBorder="1" applyAlignment="1">
      <alignment horizontal="left" vertical="top" wrapText="1"/>
    </xf>
    <xf numFmtId="0" fontId="33" fillId="0" borderId="16" xfId="0" applyFont="1" applyBorder="1" applyAlignment="1">
      <alignment horizontal="center" vertical="center" wrapText="1"/>
    </xf>
    <xf numFmtId="0" fontId="6" fillId="0" borderId="0" xfId="0" applyFont="1"/>
    <xf numFmtId="0" fontId="20" fillId="0" borderId="0" xfId="0" applyFont="1" applyAlignment="1">
      <alignment vertical="center"/>
    </xf>
    <xf numFmtId="0" fontId="0" fillId="0" borderId="0" xfId="0" applyAlignment="1">
      <alignment vertical="center" wrapText="1"/>
    </xf>
    <xf numFmtId="0" fontId="0" fillId="0" borderId="0" xfId="0" applyAlignment="1">
      <alignment vertical="center"/>
    </xf>
    <xf numFmtId="9" fontId="36" fillId="0" borderId="0" xfId="1" applyFont="1" applyAlignment="1">
      <alignment vertical="center"/>
    </xf>
    <xf numFmtId="0" fontId="36" fillId="0" borderId="0" xfId="0" applyFont="1" applyAlignment="1">
      <alignment horizontal="center" vertical="center"/>
    </xf>
    <xf numFmtId="0" fontId="0" fillId="0" borderId="0" xfId="0"/>
    <xf numFmtId="0" fontId="0" fillId="0" borderId="0" xfId="0" applyAlignment="1">
      <alignment horizontal="center" vertical="center"/>
    </xf>
    <xf numFmtId="0" fontId="28" fillId="0" borderId="67" xfId="0" applyFont="1" applyBorder="1" applyAlignment="1">
      <alignment horizontal="left" vertical="center" wrapText="1"/>
    </xf>
    <xf numFmtId="0" fontId="41" fillId="30" borderId="28" xfId="0" applyFont="1" applyFill="1" applyBorder="1" applyAlignment="1">
      <alignment horizontal="center" vertical="center" wrapText="1"/>
    </xf>
    <xf numFmtId="0" fontId="41" fillId="30" borderId="77" xfId="0" applyFont="1" applyFill="1" applyBorder="1" applyAlignment="1">
      <alignment horizontal="center" vertical="center" wrapText="1"/>
    </xf>
    <xf numFmtId="0" fontId="39" fillId="22" borderId="26" xfId="0" applyFont="1" applyFill="1" applyBorder="1" applyAlignment="1">
      <alignment horizontal="center" vertical="center" wrapText="1"/>
    </xf>
    <xf numFmtId="9" fontId="28" fillId="0" borderId="16" xfId="1" applyFont="1" applyBorder="1" applyAlignment="1">
      <alignment horizontal="center" vertical="center" wrapText="1"/>
    </xf>
    <xf numFmtId="9" fontId="28" fillId="0" borderId="33" xfId="1" applyFont="1" applyBorder="1" applyAlignment="1">
      <alignment horizontal="center" vertical="center" wrapText="1"/>
    </xf>
    <xf numFmtId="9" fontId="28" fillId="0" borderId="39" xfId="1" applyFont="1" applyBorder="1" applyAlignment="1">
      <alignment horizontal="center" vertical="center" wrapText="1"/>
    </xf>
    <xf numFmtId="9" fontId="42" fillId="0" borderId="79" xfId="1" applyFont="1" applyBorder="1" applyAlignment="1">
      <alignment horizontal="center" vertical="center" wrapText="1"/>
    </xf>
    <xf numFmtId="0" fontId="28" fillId="31" borderId="30" xfId="0" applyFont="1" applyFill="1" applyBorder="1" applyAlignment="1">
      <alignment horizontal="center" vertical="center" wrapText="1"/>
    </xf>
    <xf numFmtId="0" fontId="33" fillId="31" borderId="49" xfId="0" applyFont="1" applyFill="1" applyBorder="1" applyAlignment="1">
      <alignment horizontal="center" vertical="center" wrapText="1"/>
    </xf>
    <xf numFmtId="0" fontId="28" fillId="0" borderId="80" xfId="0" applyFont="1" applyBorder="1" applyAlignment="1">
      <alignment horizontal="center" vertical="center" wrapText="1"/>
    </xf>
    <xf numFmtId="0" fontId="28" fillId="0" borderId="80" xfId="0" applyFont="1" applyBorder="1" applyAlignment="1">
      <alignment horizontal="left" vertical="center" wrapText="1"/>
    </xf>
    <xf numFmtId="9" fontId="28" fillId="0" borderId="80" xfId="0" applyNumberFormat="1" applyFont="1" applyBorder="1" applyAlignment="1">
      <alignment horizontal="center" vertical="center" wrapText="1"/>
    </xf>
    <xf numFmtId="0" fontId="44" fillId="0" borderId="27" xfId="0" applyFont="1" applyBorder="1" applyAlignment="1">
      <alignment horizontal="center" vertical="center" wrapText="1"/>
    </xf>
    <xf numFmtId="0" fontId="44" fillId="0" borderId="28" xfId="0" applyFont="1" applyBorder="1" applyAlignment="1">
      <alignment horizontal="center" vertical="center" wrapText="1"/>
    </xf>
    <xf numFmtId="164" fontId="45" fillId="0" borderId="28" xfId="0" applyNumberFormat="1" applyFont="1" applyBorder="1" applyAlignment="1">
      <alignment horizontal="center" vertical="center" wrapText="1"/>
    </xf>
    <xf numFmtId="9" fontId="45" fillId="0" borderId="28" xfId="0" applyNumberFormat="1" applyFont="1" applyBorder="1" applyAlignment="1">
      <alignment horizontal="center" vertical="center" wrapText="1"/>
    </xf>
    <xf numFmtId="0" fontId="45" fillId="0" borderId="28" xfId="0" applyFont="1" applyBorder="1" applyAlignment="1">
      <alignment horizontal="center" vertical="center" wrapText="1"/>
    </xf>
    <xf numFmtId="0" fontId="28" fillId="0" borderId="65" xfId="0" applyFont="1" applyBorder="1" applyAlignment="1">
      <alignment horizontal="center" vertical="center" wrapText="1"/>
    </xf>
    <xf numFmtId="0" fontId="46" fillId="28" borderId="48" xfId="0" applyFont="1" applyFill="1" applyBorder="1" applyAlignment="1">
      <alignment horizontal="center" vertical="center" wrapText="1"/>
    </xf>
    <xf numFmtId="0" fontId="46" fillId="28" borderId="48" xfId="0" applyFont="1" applyFill="1" applyBorder="1" applyAlignment="1">
      <alignment horizontal="left" vertical="center" wrapText="1"/>
    </xf>
    <xf numFmtId="164" fontId="46" fillId="28" borderId="48" xfId="0" applyNumberFormat="1" applyFont="1" applyFill="1" applyBorder="1" applyAlignment="1">
      <alignment horizontal="center" vertical="center" wrapText="1"/>
    </xf>
    <xf numFmtId="165" fontId="46" fillId="28" borderId="48" xfId="0" applyNumberFormat="1" applyFont="1" applyFill="1" applyBorder="1" applyAlignment="1">
      <alignment horizontal="center" vertical="center" wrapText="1"/>
    </xf>
    <xf numFmtId="0" fontId="28" fillId="0" borderId="16" xfId="0" applyFont="1" applyBorder="1" applyAlignment="1">
      <alignment vertical="center" wrapText="1"/>
    </xf>
    <xf numFmtId="0" fontId="28" fillId="0" borderId="30" xfId="0" applyFont="1" applyBorder="1" applyAlignment="1">
      <alignment vertical="center" wrapText="1"/>
    </xf>
    <xf numFmtId="0" fontId="28" fillId="0" borderId="16" xfId="0" applyFont="1" applyBorder="1"/>
    <xf numFmtId="0" fontId="28" fillId="0" borderId="0" xfId="0" applyFont="1" applyAlignment="1">
      <alignment vertical="center" wrapText="1"/>
    </xf>
    <xf numFmtId="0" fontId="28" fillId="0" borderId="0" xfId="0" applyFont="1"/>
    <xf numFmtId="1" fontId="7" fillId="13" borderId="81" xfId="0" applyNumberFormat="1" applyFont="1" applyFill="1" applyBorder="1" applyAlignment="1">
      <alignment vertical="center" wrapText="1"/>
    </xf>
    <xf numFmtId="1" fontId="7" fillId="13" borderId="82" xfId="0" applyNumberFormat="1" applyFont="1" applyFill="1" applyBorder="1" applyAlignment="1">
      <alignment vertical="center" wrapText="1"/>
    </xf>
    <xf numFmtId="0" fontId="43" fillId="0" borderId="80" xfId="2" applyBorder="1" applyAlignment="1">
      <alignment horizontal="left" vertical="center" wrapText="1"/>
    </xf>
    <xf numFmtId="0" fontId="28" fillId="0" borderId="80" xfId="0" quotePrefix="1" applyFont="1" applyBorder="1" applyAlignment="1">
      <alignment horizontal="left" vertical="center" wrapText="1"/>
    </xf>
    <xf numFmtId="0" fontId="25" fillId="0" borderId="16" xfId="0" quotePrefix="1" applyFont="1" applyBorder="1" applyAlignment="1">
      <alignment horizontal="left" vertical="top" wrapText="1"/>
    </xf>
    <xf numFmtId="0" fontId="25" fillId="0" borderId="80" xfId="0" applyFont="1" applyBorder="1" applyAlignment="1">
      <alignment horizontal="left" vertical="center" wrapText="1"/>
    </xf>
    <xf numFmtId="0" fontId="3" fillId="0" borderId="28" xfId="0" applyFont="1" applyBorder="1" applyAlignment="1">
      <alignment horizontal="left" vertical="center" wrapText="1"/>
    </xf>
    <xf numFmtId="0" fontId="25" fillId="0" borderId="80" xfId="0" applyFont="1" applyBorder="1" applyAlignment="1">
      <alignment horizontal="center" vertical="center" wrapText="1"/>
    </xf>
    <xf numFmtId="0" fontId="22" fillId="23" borderId="0" xfId="0" applyFont="1" applyFill="1" applyAlignment="1">
      <alignment horizontal="center" vertical="center"/>
    </xf>
    <xf numFmtId="0" fontId="5" fillId="12" borderId="69" xfId="0" applyFont="1" applyFill="1" applyBorder="1" applyAlignment="1">
      <alignment horizontal="center" vertical="center"/>
    </xf>
    <xf numFmtId="0" fontId="5" fillId="12" borderId="70" xfId="0" applyFont="1" applyFill="1" applyBorder="1" applyAlignment="1">
      <alignment horizontal="center" vertical="center"/>
    </xf>
    <xf numFmtId="0" fontId="5" fillId="12" borderId="74" xfId="0" applyFont="1" applyFill="1" applyBorder="1" applyAlignment="1">
      <alignment horizontal="center" vertical="center"/>
    </xf>
    <xf numFmtId="0" fontId="5" fillId="12" borderId="75" xfId="0" applyFont="1" applyFill="1" applyBorder="1" applyAlignment="1">
      <alignment horizontal="center" vertical="center"/>
    </xf>
    <xf numFmtId="1" fontId="7" fillId="13" borderId="83" xfId="0" applyNumberFormat="1" applyFont="1" applyFill="1" applyBorder="1" applyAlignment="1">
      <alignment horizontal="center" vertical="center" wrapText="1"/>
    </xf>
    <xf numFmtId="1" fontId="7" fillId="13" borderId="38" xfId="0" applyNumberFormat="1" applyFont="1" applyFill="1" applyBorder="1" applyAlignment="1">
      <alignment horizontal="center" vertical="center" wrapText="1"/>
    </xf>
    <xf numFmtId="1" fontId="8" fillId="13" borderId="21" xfId="0" applyNumberFormat="1" applyFont="1" applyFill="1" applyBorder="1" applyAlignment="1">
      <alignment horizontal="left" vertical="center" wrapText="1"/>
    </xf>
    <xf numFmtId="1" fontId="8" fillId="13" borderId="59" xfId="0" applyNumberFormat="1" applyFont="1" applyFill="1" applyBorder="1" applyAlignment="1">
      <alignment horizontal="left" vertical="center" wrapText="1"/>
    </xf>
    <xf numFmtId="0" fontId="5" fillId="12" borderId="9" xfId="0" applyFont="1" applyFill="1" applyBorder="1" applyAlignment="1">
      <alignment horizontal="center" vertical="center"/>
    </xf>
    <xf numFmtId="0" fontId="6" fillId="0" borderId="10" xfId="0" applyFont="1" applyBorder="1" applyAlignment="1">
      <alignment vertical="center"/>
    </xf>
    <xf numFmtId="0" fontId="6" fillId="0" borderId="11" xfId="0" applyFont="1" applyBorder="1" applyAlignment="1">
      <alignment vertical="center"/>
    </xf>
    <xf numFmtId="0" fontId="5" fillId="12" borderId="50" xfId="0" applyFont="1" applyFill="1" applyBorder="1" applyAlignment="1">
      <alignment horizontal="center" vertical="center"/>
    </xf>
    <xf numFmtId="0" fontId="5" fillId="12" borderId="51" xfId="0" applyFont="1" applyFill="1" applyBorder="1" applyAlignment="1">
      <alignment horizontal="center" vertical="center"/>
    </xf>
    <xf numFmtId="0" fontId="5" fillId="12" borderId="52" xfId="0" applyFont="1" applyFill="1" applyBorder="1" applyAlignment="1">
      <alignment horizontal="center" vertical="center"/>
    </xf>
    <xf numFmtId="1" fontId="8" fillId="13" borderId="53" xfId="0" applyNumberFormat="1" applyFont="1" applyFill="1" applyBorder="1" applyAlignment="1">
      <alignment horizontal="left" vertical="center" wrapText="1"/>
    </xf>
    <xf numFmtId="1" fontId="8" fillId="13" borderId="56" xfId="0" applyNumberFormat="1" applyFont="1" applyFill="1" applyBorder="1" applyAlignment="1">
      <alignment horizontal="left" vertical="center" wrapText="1"/>
    </xf>
    <xf numFmtId="0" fontId="37" fillId="13" borderId="68" xfId="0" applyFont="1" applyFill="1" applyBorder="1" applyAlignment="1">
      <alignment horizontal="center" vertical="center"/>
    </xf>
    <xf numFmtId="0" fontId="38" fillId="13" borderId="68" xfId="0" applyFont="1" applyFill="1" applyBorder="1"/>
    <xf numFmtId="0" fontId="5" fillId="12" borderId="71" xfId="0" applyFont="1" applyFill="1" applyBorder="1" applyAlignment="1">
      <alignment horizontal="center" vertical="center"/>
    </xf>
    <xf numFmtId="0" fontId="5" fillId="12" borderId="72" xfId="0" applyFont="1" applyFill="1" applyBorder="1" applyAlignment="1">
      <alignment horizontal="center" vertical="center"/>
    </xf>
    <xf numFmtId="0" fontId="5" fillId="12" borderId="73" xfId="0" applyFont="1" applyFill="1" applyBorder="1" applyAlignment="1">
      <alignment horizontal="center" vertical="center"/>
    </xf>
    <xf numFmtId="0" fontId="16" fillId="15" borderId="26" xfId="0" applyFont="1" applyFill="1" applyBorder="1" applyAlignment="1">
      <alignment horizontal="center" vertical="center" wrapText="1"/>
    </xf>
    <xf numFmtId="0" fontId="16" fillId="15" borderId="26" xfId="0" applyFont="1" applyFill="1" applyBorder="1"/>
    <xf numFmtId="0" fontId="16" fillId="17" borderId="26" xfId="0" applyFont="1" applyFill="1" applyBorder="1" applyAlignment="1">
      <alignment horizontal="center" vertical="center" wrapText="1"/>
    </xf>
    <xf numFmtId="0" fontId="16" fillId="17" borderId="26" xfId="0" applyFont="1" applyFill="1" applyBorder="1"/>
    <xf numFmtId="1" fontId="7" fillId="13" borderId="74" xfId="0" applyNumberFormat="1" applyFont="1" applyFill="1" applyBorder="1" applyAlignment="1">
      <alignment horizontal="center" vertical="center" wrapText="1"/>
    </xf>
    <xf numFmtId="1" fontId="7" fillId="13" borderId="84" xfId="0" applyNumberFormat="1" applyFont="1" applyFill="1" applyBorder="1" applyAlignment="1">
      <alignment horizontal="center" vertical="center" wrapText="1"/>
    </xf>
    <xf numFmtId="1" fontId="8" fillId="13" borderId="85" xfId="0" applyNumberFormat="1" applyFont="1" applyFill="1" applyBorder="1" applyAlignment="1">
      <alignment horizontal="left" vertical="center" wrapText="1"/>
    </xf>
    <xf numFmtId="1" fontId="8" fillId="13" borderId="60" xfId="0" applyNumberFormat="1" applyFont="1" applyFill="1" applyBorder="1" applyAlignment="1">
      <alignment horizontal="left" vertical="center" wrapText="1"/>
    </xf>
    <xf numFmtId="0" fontId="40" fillId="0" borderId="26" xfId="0" applyFont="1" applyBorder="1" applyAlignment="1">
      <alignment horizontal="center" vertical="center" wrapText="1"/>
    </xf>
    <xf numFmtId="0" fontId="40" fillId="0" borderId="26" xfId="0" applyFont="1" applyBorder="1"/>
    <xf numFmtId="0" fontId="2" fillId="14" borderId="76" xfId="0" applyFont="1" applyFill="1" applyBorder="1" applyAlignment="1">
      <alignment horizontal="center" vertical="center" wrapText="1"/>
    </xf>
    <xf numFmtId="0" fontId="2" fillId="14" borderId="78" xfId="0" applyFont="1" applyFill="1" applyBorder="1" applyAlignment="1">
      <alignment horizontal="center" vertical="center" wrapText="1"/>
    </xf>
    <xf numFmtId="0" fontId="2" fillId="14" borderId="26" xfId="0" applyFont="1" applyFill="1" applyBorder="1" applyAlignment="1">
      <alignment horizontal="center" vertical="center" wrapText="1"/>
    </xf>
    <xf numFmtId="0" fontId="20" fillId="14" borderId="26" xfId="0" applyFont="1" applyFill="1" applyBorder="1" applyAlignment="1">
      <alignment vertical="center"/>
    </xf>
    <xf numFmtId="0" fontId="25" fillId="24" borderId="0" xfId="0" applyFont="1" applyFill="1" applyAlignment="1">
      <alignment horizontal="center"/>
    </xf>
    <xf numFmtId="0" fontId="33" fillId="0" borderId="65" xfId="0" applyFont="1" applyBorder="1" applyAlignment="1">
      <alignment horizontal="right" vertical="center" wrapText="1"/>
    </xf>
    <xf numFmtId="0" fontId="33" fillId="0" borderId="66" xfId="0" applyFont="1" applyBorder="1" applyAlignment="1">
      <alignment horizontal="right" vertical="center" wrapText="1"/>
    </xf>
    <xf numFmtId="0" fontId="28" fillId="0" borderId="66" xfId="0" applyFont="1" applyBorder="1" applyAlignment="1">
      <alignment horizontal="left" vertical="center" wrapText="1"/>
    </xf>
    <xf numFmtId="0" fontId="28" fillId="0" borderId="67" xfId="0" applyFont="1" applyBorder="1" applyAlignment="1">
      <alignment horizontal="left" vertical="center" wrapText="1"/>
    </xf>
    <xf numFmtId="0" fontId="16" fillId="19" borderId="26" xfId="0" applyFont="1" applyFill="1" applyBorder="1" applyAlignment="1">
      <alignment horizontal="center" vertical="center" wrapText="1"/>
    </xf>
    <xf numFmtId="0" fontId="16" fillId="19" borderId="26" xfId="0" applyFont="1" applyFill="1" applyBorder="1"/>
    <xf numFmtId="0" fontId="16" fillId="21" borderId="26" xfId="0" applyFont="1" applyFill="1" applyBorder="1" applyAlignment="1">
      <alignment horizontal="center" vertical="center" wrapText="1"/>
    </xf>
    <xf numFmtId="0" fontId="16" fillId="21" borderId="26" xfId="0" applyFont="1" applyFill="1" applyBorder="1"/>
    <xf numFmtId="0" fontId="39" fillId="21" borderId="26" xfId="0" applyFont="1" applyFill="1" applyBorder="1"/>
    <xf numFmtId="0" fontId="25" fillId="0" borderId="21" xfId="0" applyFont="1" applyBorder="1" applyAlignment="1">
      <alignment horizontal="center" vertical="center" wrapText="1"/>
    </xf>
    <xf numFmtId="0" fontId="25" fillId="0" borderId="22" xfId="0" applyFont="1" applyBorder="1" applyAlignment="1">
      <alignment horizontal="center" vertical="center" wrapText="1"/>
    </xf>
    <xf numFmtId="0" fontId="25" fillId="0" borderId="23" xfId="0" applyFont="1" applyBorder="1" applyAlignment="1">
      <alignment horizontal="center" vertical="center" wrapText="1"/>
    </xf>
    <xf numFmtId="0" fontId="24" fillId="0" borderId="0" xfId="0" applyFont="1"/>
    <xf numFmtId="0" fontId="26" fillId="25" borderId="34" xfId="0" applyFont="1" applyFill="1" applyBorder="1" applyAlignment="1">
      <alignment horizontal="center" vertical="center"/>
    </xf>
    <xf numFmtId="0" fontId="26" fillId="25" borderId="35" xfId="0" applyFont="1" applyFill="1" applyBorder="1" applyAlignment="1">
      <alignment horizontal="center" vertical="center"/>
    </xf>
    <xf numFmtId="0" fontId="26" fillId="25" borderId="36" xfId="0" applyFont="1" applyFill="1" applyBorder="1" applyAlignment="1">
      <alignment horizontal="center" vertical="center"/>
    </xf>
    <xf numFmtId="0" fontId="11" fillId="14" borderId="21" xfId="0" applyFont="1" applyFill="1" applyBorder="1" applyAlignment="1">
      <alignment horizontal="center" vertical="center" wrapText="1"/>
    </xf>
    <xf numFmtId="0" fontId="11" fillId="14" borderId="22" xfId="0" applyFont="1" applyFill="1" applyBorder="1" applyAlignment="1">
      <alignment horizontal="center" vertical="center" wrapText="1"/>
    </xf>
    <xf numFmtId="0" fontId="11" fillId="14" borderId="23" xfId="0" applyFont="1" applyFill="1" applyBorder="1" applyAlignment="1">
      <alignment horizontal="center" vertical="center" wrapText="1"/>
    </xf>
    <xf numFmtId="0" fontId="25" fillId="0" borderId="16" xfId="0" quotePrefix="1" applyFont="1" applyBorder="1" applyAlignment="1">
      <alignment horizontal="left" vertical="center" wrapText="1"/>
    </xf>
    <xf numFmtId="0" fontId="25" fillId="0" borderId="16" xfId="0" applyFont="1" applyBorder="1"/>
    <xf numFmtId="0" fontId="25" fillId="0" borderId="16" xfId="0" applyFont="1" applyBorder="1" applyAlignment="1">
      <alignment horizontal="center" vertical="center" wrapText="1"/>
    </xf>
    <xf numFmtId="0" fontId="33" fillId="0" borderId="16" xfId="0" applyFont="1" applyBorder="1" applyAlignment="1">
      <alignment horizontal="center" vertical="center" wrapText="1"/>
    </xf>
    <xf numFmtId="0" fontId="33" fillId="0" borderId="16" xfId="0" applyFont="1" applyBorder="1"/>
    <xf numFmtId="0" fontId="32" fillId="27" borderId="16" xfId="0" applyFont="1" applyFill="1" applyBorder="1" applyAlignment="1">
      <alignment horizontal="left" vertical="center" wrapText="1"/>
    </xf>
    <xf numFmtId="0" fontId="32" fillId="27" borderId="16" xfId="0" applyFont="1" applyFill="1" applyBorder="1"/>
    <xf numFmtId="0" fontId="25" fillId="27" borderId="21" xfId="0" applyFont="1" applyFill="1" applyBorder="1" applyAlignment="1">
      <alignment horizontal="center" vertical="center" wrapText="1"/>
    </xf>
    <xf numFmtId="0" fontId="25" fillId="27" borderId="22" xfId="0" applyFont="1" applyFill="1" applyBorder="1" applyAlignment="1">
      <alignment horizontal="center" vertical="center" wrapText="1"/>
    </xf>
    <xf numFmtId="0" fontId="25" fillId="27" borderId="57" xfId="0" applyFont="1" applyFill="1" applyBorder="1" applyAlignment="1">
      <alignment horizontal="center" vertical="center" wrapText="1"/>
    </xf>
    <xf numFmtId="0" fontId="32" fillId="13" borderId="16" xfId="0" applyFont="1" applyFill="1" applyBorder="1" applyAlignment="1">
      <alignment horizontal="left" vertical="center" wrapText="1"/>
    </xf>
    <xf numFmtId="0" fontId="32" fillId="13" borderId="16" xfId="0" applyFont="1" applyFill="1" applyBorder="1"/>
    <xf numFmtId="0" fontId="28" fillId="13" borderId="21" xfId="0" applyFont="1" applyFill="1" applyBorder="1" applyAlignment="1">
      <alignment horizontal="center" vertical="center" wrapText="1"/>
    </xf>
    <xf numFmtId="0" fontId="25" fillId="13" borderId="22" xfId="0" applyFont="1" applyFill="1" applyBorder="1" applyAlignment="1">
      <alignment horizontal="center" vertical="center" wrapText="1"/>
    </xf>
    <xf numFmtId="0" fontId="25" fillId="13" borderId="57" xfId="0" applyFont="1" applyFill="1" applyBorder="1" applyAlignment="1">
      <alignment horizontal="center" vertical="center" wrapText="1"/>
    </xf>
    <xf numFmtId="0" fontId="25" fillId="27" borderId="45" xfId="0" applyFont="1" applyFill="1" applyBorder="1" applyAlignment="1">
      <alignment horizontal="center" vertical="center" wrapText="1"/>
    </xf>
    <xf numFmtId="0" fontId="25" fillId="27" borderId="47" xfId="0" applyFont="1" applyFill="1" applyBorder="1" applyAlignment="1">
      <alignment horizontal="center" vertical="center" wrapText="1"/>
    </xf>
    <xf numFmtId="0" fontId="25" fillId="27" borderId="61" xfId="0" applyFont="1" applyFill="1" applyBorder="1" applyAlignment="1">
      <alignment horizontal="center" vertical="center" wrapText="1"/>
    </xf>
    <xf numFmtId="0" fontId="35" fillId="28" borderId="62" xfId="0" applyFont="1" applyFill="1" applyBorder="1" applyAlignment="1">
      <alignment horizontal="center" vertical="center" wrapText="1"/>
    </xf>
    <xf numFmtId="0" fontId="35" fillId="28" borderId="63" xfId="0" applyFont="1" applyFill="1" applyBorder="1" applyAlignment="1">
      <alignment horizontal="center" vertical="center" wrapText="1"/>
    </xf>
    <xf numFmtId="0" fontId="35" fillId="28" borderId="64" xfId="0" applyFont="1" applyFill="1" applyBorder="1" applyAlignment="1">
      <alignment horizontal="center" vertical="center" wrapText="1"/>
    </xf>
    <xf numFmtId="0" fontId="11" fillId="14" borderId="53" xfId="0" applyFont="1" applyFill="1" applyBorder="1" applyAlignment="1">
      <alignment horizontal="center" vertical="center" wrapText="1"/>
    </xf>
    <xf numFmtId="0" fontId="11" fillId="14" borderId="54" xfId="0" applyFont="1" applyFill="1" applyBorder="1" applyAlignment="1">
      <alignment horizontal="center" vertical="center" wrapText="1"/>
    </xf>
    <xf numFmtId="0" fontId="11" fillId="14" borderId="55" xfId="0" applyFont="1" applyFill="1" applyBorder="1" applyAlignment="1">
      <alignment horizontal="center" vertical="center" wrapText="1"/>
    </xf>
    <xf numFmtId="0" fontId="25" fillId="13" borderId="21" xfId="0" applyFont="1" applyFill="1" applyBorder="1" applyAlignment="1">
      <alignment horizontal="center" vertical="center" wrapText="1"/>
    </xf>
    <xf numFmtId="0" fontId="25" fillId="27" borderId="16" xfId="0" applyFont="1" applyFill="1" applyBorder="1" applyAlignment="1">
      <alignment horizontal="left" vertical="center" wrapText="1"/>
    </xf>
    <xf numFmtId="0" fontId="25" fillId="27" borderId="16" xfId="0" applyFont="1" applyFill="1" applyBorder="1"/>
    <xf numFmtId="2" fontId="25" fillId="27" borderId="16" xfId="0" applyNumberFormat="1" applyFont="1" applyFill="1" applyBorder="1" applyAlignment="1">
      <alignment horizontal="center" vertical="center"/>
    </xf>
    <xf numFmtId="0" fontId="25" fillId="27" borderId="16" xfId="0" applyFont="1" applyFill="1" applyBorder="1" applyAlignment="1">
      <alignment horizontal="center" vertical="center"/>
    </xf>
    <xf numFmtId="2" fontId="25" fillId="27" borderId="16" xfId="0" applyNumberFormat="1" applyFont="1" applyFill="1" applyBorder="1" applyAlignment="1">
      <alignment horizontal="center" vertical="center" wrapText="1"/>
    </xf>
    <xf numFmtId="0" fontId="25" fillId="13" borderId="16" xfId="0" applyFont="1" applyFill="1" applyBorder="1" applyAlignment="1">
      <alignment horizontal="left" vertical="center" wrapText="1"/>
    </xf>
    <xf numFmtId="0" fontId="25" fillId="13" borderId="16" xfId="0" applyFont="1" applyFill="1" applyBorder="1"/>
    <xf numFmtId="2" fontId="25" fillId="13" borderId="16" xfId="0" applyNumberFormat="1" applyFont="1" applyFill="1" applyBorder="1" applyAlignment="1">
      <alignment horizontal="center" vertical="center"/>
    </xf>
    <xf numFmtId="0" fontId="25" fillId="13" borderId="16" xfId="0" applyFont="1" applyFill="1" applyBorder="1" applyAlignment="1">
      <alignment horizontal="center" vertical="center"/>
    </xf>
    <xf numFmtId="2" fontId="25" fillId="13" borderId="16" xfId="0" applyNumberFormat="1" applyFont="1" applyFill="1" applyBorder="1" applyAlignment="1">
      <alignment horizontal="center" vertical="center" wrapText="1"/>
    </xf>
    <xf numFmtId="0" fontId="29" fillId="28" borderId="48" xfId="0" applyFont="1" applyFill="1" applyBorder="1" applyAlignment="1">
      <alignment horizontal="left" vertical="center" wrapText="1"/>
    </xf>
    <xf numFmtId="0" fontId="29" fillId="28" borderId="48" xfId="0" applyFont="1" applyFill="1" applyBorder="1"/>
    <xf numFmtId="2" fontId="29" fillId="28" borderId="48" xfId="0" applyNumberFormat="1" applyFont="1" applyFill="1" applyBorder="1" applyAlignment="1">
      <alignment horizontal="center" vertical="center" wrapText="1"/>
    </xf>
    <xf numFmtId="0" fontId="29" fillId="28" borderId="42" xfId="0" applyFont="1" applyFill="1" applyBorder="1" applyAlignment="1">
      <alignment horizontal="center" vertical="center" wrapText="1"/>
    </xf>
    <xf numFmtId="0" fontId="29" fillId="28" borderId="42" xfId="0" applyFont="1" applyFill="1" applyBorder="1"/>
    <xf numFmtId="0" fontId="25" fillId="13" borderId="21" xfId="0" applyFont="1" applyFill="1" applyBorder="1" applyAlignment="1">
      <alignment vertical="center" wrapText="1"/>
    </xf>
    <xf numFmtId="0" fontId="25" fillId="13" borderId="23" xfId="0" applyFont="1" applyFill="1" applyBorder="1" applyAlignment="1">
      <alignment vertical="center" wrapText="1"/>
    </xf>
    <xf numFmtId="0" fontId="25" fillId="13" borderId="22" xfId="0" applyFont="1" applyFill="1" applyBorder="1" applyAlignment="1">
      <alignment vertical="center" wrapText="1"/>
    </xf>
    <xf numFmtId="0" fontId="25" fillId="27" borderId="21" xfId="0" quotePrefix="1" applyFont="1" applyFill="1" applyBorder="1" applyAlignment="1">
      <alignment horizontal="left" vertical="center" wrapText="1"/>
    </xf>
    <xf numFmtId="0" fontId="25" fillId="27" borderId="22" xfId="0" applyFont="1" applyFill="1" applyBorder="1" applyAlignment="1">
      <alignment horizontal="left" vertical="center" wrapText="1"/>
    </xf>
    <xf numFmtId="0" fontId="25" fillId="27" borderId="23" xfId="0" applyFont="1" applyFill="1" applyBorder="1" applyAlignment="1">
      <alignment horizontal="left" vertical="center" wrapText="1"/>
    </xf>
    <xf numFmtId="0" fontId="25" fillId="27" borderId="21" xfId="0" applyFont="1" applyFill="1" applyBorder="1" applyAlignment="1">
      <alignment vertical="center" wrapText="1"/>
    </xf>
    <xf numFmtId="0" fontId="25" fillId="27" borderId="23" xfId="0" applyFont="1" applyFill="1" applyBorder="1" applyAlignment="1">
      <alignment vertical="center" wrapText="1"/>
    </xf>
    <xf numFmtId="0" fontId="25" fillId="27" borderId="22" xfId="0" applyFont="1" applyFill="1" applyBorder="1" applyAlignment="1">
      <alignment vertical="center" wrapText="1"/>
    </xf>
    <xf numFmtId="0" fontId="25" fillId="13" borderId="45" xfId="0" applyFont="1" applyFill="1" applyBorder="1" applyAlignment="1">
      <alignment vertical="center" wrapText="1"/>
    </xf>
    <xf numFmtId="0" fontId="25" fillId="13" borderId="46" xfId="0" applyFont="1" applyFill="1" applyBorder="1" applyAlignment="1">
      <alignment vertical="center" wrapText="1"/>
    </xf>
    <xf numFmtId="0" fontId="25" fillId="13" borderId="47" xfId="0" applyFont="1" applyFill="1" applyBorder="1" applyAlignment="1">
      <alignment vertical="center" wrapText="1"/>
    </xf>
    <xf numFmtId="0" fontId="25" fillId="27" borderId="45" xfId="0" quotePrefix="1" applyFont="1" applyFill="1" applyBorder="1" applyAlignment="1">
      <alignment horizontal="left" vertical="center" wrapText="1"/>
    </xf>
    <xf numFmtId="0" fontId="25" fillId="27" borderId="47" xfId="0" applyFont="1" applyFill="1" applyBorder="1" applyAlignment="1">
      <alignment horizontal="left" vertical="center" wrapText="1"/>
    </xf>
    <xf numFmtId="0" fontId="25" fillId="27" borderId="46" xfId="0" applyFont="1" applyFill="1" applyBorder="1" applyAlignment="1">
      <alignment horizontal="left" vertical="center" wrapText="1"/>
    </xf>
    <xf numFmtId="0" fontId="26" fillId="25" borderId="34" xfId="0" applyFont="1" applyFill="1" applyBorder="1" applyAlignment="1">
      <alignment horizontal="center" vertical="center" wrapText="1"/>
    </xf>
    <xf numFmtId="0" fontId="11" fillId="14" borderId="43" xfId="0" applyFont="1" applyFill="1" applyBorder="1" applyAlignment="1">
      <alignment horizontal="center" vertical="center" wrapText="1"/>
    </xf>
    <xf numFmtId="0" fontId="11" fillId="14" borderId="44" xfId="0" applyFont="1" applyFill="1" applyBorder="1" applyAlignment="1">
      <alignment horizontal="center" vertical="center" wrapText="1"/>
    </xf>
    <xf numFmtId="0" fontId="11" fillId="14" borderId="0" xfId="0" applyFont="1" applyFill="1" applyAlignment="1">
      <alignment horizontal="center" vertical="center" wrapText="1"/>
    </xf>
    <xf numFmtId="0" fontId="11" fillId="14" borderId="38" xfId="0" applyFont="1" applyFill="1" applyBorder="1" applyAlignment="1">
      <alignment horizontal="center" vertical="center" wrapText="1"/>
    </xf>
    <xf numFmtId="0" fontId="25" fillId="27" borderId="0" xfId="0" applyFont="1" applyFill="1" applyAlignment="1">
      <alignment vertical="center" wrapText="1"/>
    </xf>
    <xf numFmtId="0" fontId="25" fillId="27" borderId="38" xfId="0" applyFont="1" applyFill="1" applyBorder="1" applyAlignment="1">
      <alignment vertical="center" wrapText="1"/>
    </xf>
    <xf numFmtId="0" fontId="27" fillId="26" borderId="39" xfId="0" applyFont="1" applyFill="1" applyBorder="1" applyAlignment="1">
      <alignment horizontal="left" vertical="center"/>
    </xf>
    <xf numFmtId="0" fontId="27" fillId="26" borderId="41" xfId="0" applyFont="1" applyFill="1" applyBorder="1" applyAlignment="1">
      <alignment horizontal="left" vertical="center"/>
    </xf>
    <xf numFmtId="0" fontId="25" fillId="0" borderId="21" xfId="0" applyFont="1" applyBorder="1" applyAlignment="1">
      <alignment horizontal="left" vertical="center"/>
    </xf>
    <xf numFmtId="0" fontId="25" fillId="0" borderId="23" xfId="0" applyFont="1" applyBorder="1" applyAlignment="1">
      <alignment horizontal="left" vertical="center"/>
    </xf>
    <xf numFmtId="0" fontId="27" fillId="26" borderId="21" xfId="0" applyFont="1" applyFill="1" applyBorder="1" applyAlignment="1">
      <alignment horizontal="left" vertical="center" wrapText="1"/>
    </xf>
    <xf numFmtId="0" fontId="27" fillId="26" borderId="22" xfId="0" applyFont="1" applyFill="1" applyBorder="1" applyAlignment="1">
      <alignment horizontal="left" vertical="center" wrapText="1"/>
    </xf>
    <xf numFmtId="0" fontId="27" fillId="26" borderId="23" xfId="0" applyFont="1" applyFill="1" applyBorder="1" applyAlignment="1">
      <alignment horizontal="left" vertical="center" wrapText="1"/>
    </xf>
    <xf numFmtId="0" fontId="25" fillId="0" borderId="21" xfId="0" applyFont="1" applyBorder="1" applyAlignment="1">
      <alignment horizontal="left"/>
    </xf>
    <xf numFmtId="0" fontId="25" fillId="0" borderId="22" xfId="0" applyFont="1" applyBorder="1" applyAlignment="1">
      <alignment horizontal="left"/>
    </xf>
    <xf numFmtId="0" fontId="25" fillId="0" borderId="23" xfId="0" applyFont="1" applyBorder="1" applyAlignment="1">
      <alignment horizontal="left"/>
    </xf>
    <xf numFmtId="0" fontId="25" fillId="27" borderId="16" xfId="0" quotePrefix="1" applyFont="1" applyFill="1" applyBorder="1" applyAlignment="1">
      <alignment horizontal="left" vertical="center" wrapText="1"/>
    </xf>
    <xf numFmtId="0" fontId="27" fillId="26" borderId="37" xfId="0" applyFont="1" applyFill="1" applyBorder="1" applyAlignment="1">
      <alignment horizontal="left" vertical="center"/>
    </xf>
    <xf numFmtId="0" fontId="27" fillId="26" borderId="38" xfId="0" applyFont="1" applyFill="1" applyBorder="1" applyAlignment="1">
      <alignment horizontal="left" vertical="center"/>
    </xf>
    <xf numFmtId="0" fontId="28" fillId="0" borderId="21" xfId="0" applyFont="1" applyBorder="1" applyAlignment="1">
      <alignment horizontal="left" vertical="center"/>
    </xf>
    <xf numFmtId="0" fontId="27" fillId="26" borderId="40" xfId="0" applyFont="1" applyFill="1" applyBorder="1" applyAlignment="1">
      <alignment horizontal="left" vertical="center"/>
    </xf>
    <xf numFmtId="0" fontId="25" fillId="0" borderId="22" xfId="0" applyFont="1" applyBorder="1" applyAlignment="1">
      <alignment horizontal="left" vertical="center"/>
    </xf>
    <xf numFmtId="0" fontId="27" fillId="26" borderId="21" xfId="0" applyFont="1" applyFill="1" applyBorder="1" applyAlignment="1">
      <alignment horizontal="left" vertical="center"/>
    </xf>
    <xf numFmtId="0" fontId="27" fillId="26" borderId="23" xfId="0" applyFont="1" applyFill="1" applyBorder="1" applyAlignment="1">
      <alignment horizontal="left" vertical="center"/>
    </xf>
    <xf numFmtId="14" fontId="25" fillId="0" borderId="21" xfId="0" applyNumberFormat="1" applyFont="1" applyBorder="1" applyAlignment="1">
      <alignment horizontal="left" vertical="center"/>
    </xf>
    <xf numFmtId="14" fontId="25" fillId="0" borderId="22" xfId="0" applyNumberFormat="1" applyFont="1" applyBorder="1" applyAlignment="1">
      <alignment horizontal="left" vertical="center"/>
    </xf>
    <xf numFmtId="14" fontId="25" fillId="0" borderId="23" xfId="0" applyNumberFormat="1" applyFont="1" applyBorder="1" applyAlignment="1">
      <alignment horizontal="left" vertical="center"/>
    </xf>
    <xf numFmtId="0" fontId="27" fillId="26" borderId="22" xfId="0" applyFont="1" applyFill="1" applyBorder="1" applyAlignment="1">
      <alignment horizontal="left" vertical="center"/>
    </xf>
    <xf numFmtId="0" fontId="15" fillId="2" borderId="24" xfId="0" applyFont="1" applyFill="1" applyBorder="1" applyAlignment="1">
      <alignment horizontal="center" vertical="center" wrapText="1"/>
    </xf>
    <xf numFmtId="0" fontId="15" fillId="2" borderId="25" xfId="0" applyFont="1" applyFill="1" applyBorder="1" applyAlignment="1">
      <alignment horizontal="center" vertical="center" wrapText="1"/>
    </xf>
    <xf numFmtId="0" fontId="15" fillId="2" borderId="32" xfId="0" applyFont="1" applyFill="1" applyBorder="1" applyAlignment="1">
      <alignment horizontal="center" vertical="center" wrapText="1"/>
    </xf>
    <xf numFmtId="0" fontId="15" fillId="2" borderId="29" xfId="0" applyFont="1" applyFill="1" applyBorder="1" applyAlignment="1">
      <alignment horizontal="center" vertical="center" wrapText="1"/>
    </xf>
    <xf numFmtId="0" fontId="19" fillId="21" borderId="26" xfId="0" applyFont="1" applyFill="1" applyBorder="1"/>
    <xf numFmtId="0" fontId="4" fillId="0" borderId="31" xfId="0" applyFont="1" applyBorder="1" applyAlignment="1">
      <alignment horizontal="left" vertical="center" wrapText="1"/>
    </xf>
    <xf numFmtId="0" fontId="13" fillId="0" borderId="4" xfId="0" applyFont="1" applyBorder="1" applyAlignment="1">
      <alignment horizontal="left" vertical="center" wrapText="1"/>
    </xf>
    <xf numFmtId="0" fontId="13" fillId="0" borderId="0" xfId="0" applyFont="1" applyAlignment="1">
      <alignment horizontal="left" vertical="center" wrapText="1"/>
    </xf>
    <xf numFmtId="0" fontId="4" fillId="0" borderId="5" xfId="0" applyFont="1" applyBorder="1" applyAlignment="1">
      <alignment horizontal="left" vertical="center" wrapText="1"/>
    </xf>
    <xf numFmtId="0" fontId="4" fillId="0" borderId="0" xfId="0" applyFont="1" applyAlignment="1">
      <alignment horizontal="left" vertical="center" wrapText="1"/>
    </xf>
    <xf numFmtId="0" fontId="14" fillId="0" borderId="5" xfId="0" applyFont="1" applyBorder="1" applyAlignment="1">
      <alignment horizontal="left" vertical="center" wrapText="1"/>
    </xf>
    <xf numFmtId="0" fontId="4" fillId="0" borderId="4" xfId="0" applyFont="1" applyBorder="1" applyAlignment="1">
      <alignment horizontal="left" vertical="center" wrapText="1"/>
    </xf>
    <xf numFmtId="0" fontId="12" fillId="2" borderId="0" xfId="0" applyFont="1" applyFill="1" applyAlignment="1">
      <alignment horizontal="center" vertical="center" wrapText="1"/>
    </xf>
    <xf numFmtId="0" fontId="4" fillId="0" borderId="0" xfId="0" applyFont="1" applyBorder="1"/>
    <xf numFmtId="0" fontId="1" fillId="2" borderId="0" xfId="0" applyFont="1" applyFill="1" applyAlignment="1">
      <alignment horizontal="center" vertical="center"/>
    </xf>
    <xf numFmtId="0" fontId="0" fillId="0" borderId="0" xfId="0" applyBorder="1"/>
    <xf numFmtId="0" fontId="25" fillId="0" borderId="86" xfId="0" applyFont="1" applyBorder="1" applyAlignment="1">
      <alignment horizontal="left" vertical="center" wrapText="1"/>
    </xf>
    <xf numFmtId="0" fontId="28" fillId="0" borderId="87" xfId="0" applyFont="1" applyBorder="1" applyAlignment="1">
      <alignment horizontal="center" vertical="center" wrapText="1"/>
    </xf>
    <xf numFmtId="0" fontId="25" fillId="0" borderId="88" xfId="0" applyFont="1" applyBorder="1" applyAlignment="1">
      <alignment horizontal="left" vertical="center" wrapText="1"/>
    </xf>
    <xf numFmtId="0" fontId="28" fillId="0" borderId="89" xfId="0" applyFont="1" applyBorder="1" applyAlignment="1">
      <alignment horizontal="left" vertical="center" wrapText="1"/>
    </xf>
    <xf numFmtId="0" fontId="28" fillId="0" borderId="86" xfId="0" applyFont="1" applyBorder="1" applyAlignment="1">
      <alignment horizontal="center" vertical="center" wrapText="1"/>
    </xf>
    <xf numFmtId="0" fontId="28" fillId="0" borderId="86" xfId="0" applyFont="1" applyBorder="1" applyAlignment="1">
      <alignment horizontal="left" vertical="center" wrapText="1"/>
    </xf>
    <xf numFmtId="0" fontId="28" fillId="0" borderId="88" xfId="0" applyFont="1" applyBorder="1" applyAlignment="1">
      <alignment horizontal="center" vertical="center" wrapText="1"/>
    </xf>
    <xf numFmtId="0" fontId="43" fillId="0" borderId="88" xfId="2" quotePrefix="1" applyBorder="1" applyAlignment="1">
      <alignment horizontal="left" vertical="center" wrapText="1"/>
    </xf>
    <xf numFmtId="0" fontId="28" fillId="0" borderId="88" xfId="0" applyFont="1" applyBorder="1" applyAlignment="1">
      <alignment horizontal="left" vertical="center" wrapText="1"/>
    </xf>
    <xf numFmtId="0" fontId="3" fillId="0" borderId="90" xfId="0" applyFont="1" applyBorder="1" applyAlignment="1">
      <alignment horizontal="left" vertical="center" wrapText="1"/>
    </xf>
    <xf numFmtId="0" fontId="46" fillId="28" borderId="91" xfId="0" applyFont="1" applyFill="1" applyBorder="1" applyAlignment="1">
      <alignment horizontal="center" vertical="center" wrapText="1"/>
    </xf>
    <xf numFmtId="0" fontId="46" fillId="28" borderId="92" xfId="0" applyFont="1" applyFill="1" applyBorder="1" applyAlignment="1">
      <alignment horizontal="center" vertical="center" wrapText="1"/>
    </xf>
    <xf numFmtId="0" fontId="46" fillId="28" borderId="93" xfId="0" applyFont="1" applyFill="1" applyBorder="1" applyAlignment="1">
      <alignment horizontal="center" vertical="center" wrapText="1"/>
    </xf>
    <xf numFmtId="0" fontId="43" fillId="0" borderId="86" xfId="2" quotePrefix="1" applyBorder="1" applyAlignment="1">
      <alignment horizontal="left" vertical="center" wrapText="1"/>
    </xf>
    <xf numFmtId="0" fontId="28" fillId="0" borderId="94" xfId="0" applyFont="1" applyBorder="1" applyAlignment="1">
      <alignment horizontal="center" vertical="center" wrapText="1"/>
    </xf>
    <xf numFmtId="0" fontId="28" fillId="0" borderId="95" xfId="0" applyFont="1" applyBorder="1" applyAlignment="1">
      <alignment horizontal="center" vertical="center" wrapText="1"/>
    </xf>
    <xf numFmtId="0" fontId="25" fillId="0" borderId="95" xfId="0" applyFont="1" applyBorder="1" applyAlignment="1">
      <alignment horizontal="left" vertical="center" wrapText="1"/>
    </xf>
    <xf numFmtId="0" fontId="28" fillId="0" borderId="95" xfId="0" applyFont="1" applyBorder="1" applyAlignment="1">
      <alignment horizontal="left" vertical="center" wrapText="1"/>
    </xf>
    <xf numFmtId="0" fontId="43" fillId="0" borderId="96" xfId="2" quotePrefix="1" applyBorder="1" applyAlignment="1">
      <alignment horizontal="left" vertical="center" wrapText="1"/>
    </xf>
    <xf numFmtId="0" fontId="28" fillId="0" borderId="97" xfId="0" quotePrefix="1" applyFont="1" applyBorder="1" applyAlignment="1">
      <alignment horizontal="left" vertical="center" wrapText="1"/>
    </xf>
  </cellXfs>
  <cellStyles count="3">
    <cellStyle name="Hyperlink" xfId="2" builtinId="8"/>
    <cellStyle name="Normal" xfId="0" builtinId="0"/>
    <cellStyle name="Percent" xfId="1" builtinId="5"/>
  </cellStyles>
  <dxfs count="28">
    <dxf>
      <font>
        <strike val="0"/>
        <u val="none"/>
        <sz val="10"/>
        <color auto="1"/>
        <name val="Segoe UI"/>
        <family val="2"/>
        <scheme val="none"/>
      </font>
      <alignment horizontal="center" vertical="center"/>
    </dxf>
    <dxf>
      <font>
        <strike val="0"/>
        <u val="none"/>
        <sz val="10"/>
        <color auto="1"/>
        <name val="Segoe UI"/>
        <family val="2"/>
        <scheme val="none"/>
      </font>
      <alignment horizontal="center" vertical="center"/>
    </dxf>
    <dxf>
      <font>
        <strike val="0"/>
        <u val="none"/>
        <sz val="10"/>
        <color auto="1"/>
        <name val="Segoe UI"/>
        <family val="2"/>
        <scheme val="none"/>
      </font>
      <alignment horizontal="center" vertical="center"/>
    </dxf>
    <dxf>
      <font>
        <strike val="0"/>
        <u val="none"/>
        <sz val="10"/>
        <color auto="1"/>
        <name val="Segoe UI"/>
        <family val="2"/>
        <scheme val="none"/>
      </font>
      <alignment horizontal="center" vertical="center"/>
    </dxf>
    <dxf>
      <font>
        <strike val="0"/>
        <u val="none"/>
        <sz val="10"/>
        <color auto="1"/>
        <name val="Segoe UI"/>
        <family val="2"/>
        <scheme val="none"/>
      </font>
      <alignment horizontal="center" vertical="center"/>
    </dxf>
    <dxf>
      <font>
        <strike val="0"/>
        <u val="none"/>
        <sz val="10"/>
        <color auto="1"/>
        <name val="Segoe UI"/>
        <family val="2"/>
        <scheme val="none"/>
      </font>
      <alignment horizontal="center" vertical="center"/>
    </dxf>
    <dxf>
      <font>
        <strike val="0"/>
        <u val="none"/>
        <sz val="11"/>
        <color theme="0"/>
        <name val="Carlito"/>
        <scheme val="none"/>
      </font>
      <alignment horizontal="center" vertical="center"/>
    </dxf>
    <dxf>
      <font>
        <b/>
        <color rgb="FF9C0006"/>
      </font>
      <fill>
        <patternFill patternType="solid">
          <bgColor rgb="FFFCE8E6"/>
        </patternFill>
      </fill>
    </dxf>
    <dxf>
      <font>
        <color theme="0"/>
      </font>
      <fill>
        <patternFill patternType="solid">
          <bgColor rgb="FFE06B13"/>
        </patternFill>
      </fill>
    </dxf>
    <dxf>
      <font>
        <color theme="0"/>
      </font>
      <fill>
        <patternFill patternType="solid">
          <bgColor rgb="FFFDA80B"/>
        </patternFill>
      </fill>
    </dxf>
    <dxf>
      <font>
        <color theme="0"/>
      </font>
      <fill>
        <patternFill patternType="solid">
          <bgColor rgb="FF0E9258"/>
        </patternFill>
      </fill>
    </dxf>
    <dxf>
      <font>
        <color theme="0"/>
      </font>
      <fill>
        <patternFill patternType="solid">
          <bgColor rgb="FF077444"/>
        </patternFill>
      </fill>
    </dxf>
    <dxf>
      <font>
        <color theme="0"/>
      </font>
      <fill>
        <patternFill patternType="solid">
          <bgColor rgb="FFE13B3F"/>
        </patternFill>
      </fill>
    </dxf>
    <dxf>
      <font>
        <color theme="0"/>
      </font>
      <fill>
        <patternFill patternType="solid">
          <bgColor rgb="FF077444"/>
        </patternFill>
      </fill>
    </dxf>
    <dxf>
      <font>
        <color theme="0"/>
      </font>
      <fill>
        <patternFill patternType="solid">
          <bgColor rgb="FF0E9258"/>
        </patternFill>
      </fill>
    </dxf>
    <dxf>
      <font>
        <color theme="0"/>
      </font>
      <fill>
        <patternFill patternType="solid">
          <bgColor rgb="FFFDA80B"/>
        </patternFill>
      </fill>
    </dxf>
    <dxf>
      <font>
        <color theme="0"/>
      </font>
      <fill>
        <patternFill patternType="solid">
          <bgColor rgb="FFE06B13"/>
        </patternFill>
      </fill>
    </dxf>
    <dxf>
      <font>
        <color theme="0"/>
      </font>
      <fill>
        <patternFill patternType="solid">
          <bgColor rgb="FFE13B3F"/>
        </patternFill>
      </fill>
    </dxf>
    <dxf>
      <font>
        <color rgb="FFFFC000"/>
      </font>
    </dxf>
    <dxf>
      <font>
        <color rgb="FFFF0000"/>
      </font>
    </dxf>
    <dxf>
      <font>
        <color theme="0"/>
      </font>
      <fill>
        <patternFill patternType="solid">
          <bgColor rgb="FF2C6FE4"/>
        </patternFill>
      </fill>
    </dxf>
    <dxf>
      <font>
        <color theme="0"/>
      </font>
      <fill>
        <patternFill patternType="solid">
          <bgColor rgb="FF019FB4"/>
        </patternFill>
      </fill>
    </dxf>
    <dxf>
      <font>
        <color theme="0"/>
      </font>
      <fill>
        <patternFill patternType="solid">
          <bgColor rgb="FFDC3E43"/>
        </patternFill>
      </fill>
    </dxf>
    <dxf>
      <font>
        <color theme="0"/>
      </font>
      <fill>
        <patternFill patternType="solid">
          <bgColor rgb="FF913BD2"/>
        </patternFill>
      </fill>
    </dxf>
    <dxf>
      <font>
        <color theme="0"/>
      </font>
      <fill>
        <patternFill patternType="solid">
          <bgColor rgb="FFF48F02"/>
        </patternFill>
      </fill>
    </dxf>
    <dxf>
      <font>
        <color theme="0"/>
      </font>
      <fill>
        <patternFill patternType="solid">
          <bgColor rgb="FF5754CA"/>
        </patternFill>
      </fill>
    </dxf>
    <dxf>
      <font>
        <color theme="0"/>
      </font>
      <fill>
        <patternFill patternType="solid">
          <bgColor rgb="FF767B83"/>
        </patternFill>
      </fill>
    </dxf>
    <dxf>
      <font>
        <color theme="0"/>
      </font>
      <fill>
        <patternFill patternType="solid">
          <bgColor rgb="FF57AA5F"/>
        </patternFill>
      </fill>
    </dxf>
  </dxfs>
  <tableStyles count="0" defaultTableStyle="TableStyleMedium2" defaultPivotStyle="PivotStyleLight16"/>
  <colors>
    <mruColors>
      <color rgb="FF1F4E79"/>
      <color rgb="FF01346D"/>
      <color rgb="FF00387A"/>
      <color rgb="FF1F293B"/>
      <color rgb="FF2D3748"/>
      <color rgb="FFF5F7FA"/>
      <color rgb="FF808B9C"/>
      <color rgb="FF808B7E"/>
      <color rgb="FF707A8A"/>
      <color rgb="FFC6936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1"/>
        <c:ser>
          <c:idx val="0"/>
          <c:order val="0"/>
          <c:tx>
            <c:v>Điểm thực tế</c:v>
          </c:tx>
          <c:invertIfNegative val="1"/>
          <c:dPt>
            <c:idx val="0"/>
            <c:invertIfNegative val="1"/>
            <c:bubble3D val="0"/>
            <c:extLst>
              <c:ext xmlns:c16="http://schemas.microsoft.com/office/drawing/2014/chart" uri="{C3380CC4-5D6E-409C-BE32-E72D297353CC}">
                <c16:uniqueId val="{00000000-8EB6-4627-8EE6-7F1C7E9E1E5F}"/>
              </c:ext>
            </c:extLst>
          </c:dPt>
          <c:dPt>
            <c:idx val="1"/>
            <c:invertIfNegative val="1"/>
            <c:bubble3D val="0"/>
            <c:extLst>
              <c:ext xmlns:c16="http://schemas.microsoft.com/office/drawing/2014/chart" uri="{C3380CC4-5D6E-409C-BE32-E72D297353CC}">
                <c16:uniqueId val="{00000001-8EB6-4627-8EE6-7F1C7E9E1E5F}"/>
              </c:ext>
            </c:extLst>
          </c:dPt>
          <c:dPt>
            <c:idx val="2"/>
            <c:invertIfNegative val="1"/>
            <c:bubble3D val="0"/>
            <c:extLst>
              <c:ext xmlns:c16="http://schemas.microsoft.com/office/drawing/2014/chart" uri="{C3380CC4-5D6E-409C-BE32-E72D297353CC}">
                <c16:uniqueId val="{00000002-8EB6-4627-8EE6-7F1C7E9E1E5F}"/>
              </c:ext>
            </c:extLst>
          </c:dPt>
          <c:dPt>
            <c:idx val="3"/>
            <c:invertIfNegative val="1"/>
            <c:bubble3D val="0"/>
            <c:extLst>
              <c:ext xmlns:c16="http://schemas.microsoft.com/office/drawing/2014/chart" uri="{C3380CC4-5D6E-409C-BE32-E72D297353CC}">
                <c16:uniqueId val="{00000003-8EB6-4627-8EE6-7F1C7E9E1E5F}"/>
              </c:ext>
            </c:extLst>
          </c:dPt>
          <c:dLbls>
            <c:spPr>
              <a:noFill/>
              <a:ln>
                <a:noFill/>
                <a:prstDash val="solid"/>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'02. Tổng KPI'!$A$26:$A$29</c:f>
              <c:strCache>
                <c:ptCount val="4"/>
                <c:pt idx="0">
                  <c:v>Hiệu quả thực hiện công việc</c:v>
                </c:pt>
                <c:pt idx="1">
                  <c:v>Chất lượng sản phẩm phần mềm</c:v>
                </c:pt>
                <c:pt idx="2">
                  <c:v>Hỗ trợ &amp; dịch vụ khách hàng</c:v>
                </c:pt>
                <c:pt idx="3">
                  <c:v>Quy trình &amp; phát triển năng lực</c:v>
                </c:pt>
              </c:strCache>
            </c:strRef>
          </c:cat>
          <c:val>
            <c:numRef>
              <c:f>'02. Tổng KPI'!$D$26:$D$29</c:f>
              <c:numCache>
                <c:formatCode>0.00</c:formatCode>
                <c:ptCount val="4"/>
                <c:pt idx="0">
                  <c:v>98.352941176470566</c:v>
                </c:pt>
                <c:pt idx="1">
                  <c:v>94.833333333333343</c:v>
                </c:pt>
                <c:pt idx="2">
                  <c:v>100</c:v>
                </c:pt>
                <c:pt idx="3">
                  <c:v>87.687499999999986</c:v>
                </c:pt>
              </c:numCache>
            </c:numRef>
          </c:val>
          <c:extLst>
            <c:ext xmlns:c16="http://schemas.microsoft.com/office/drawing/2014/chart" uri="{C3380CC4-5D6E-409C-BE32-E72D297353CC}">
              <c16:uniqueId val="{00000004-8EB6-4627-8EE6-7F1C7E9E1E5F}"/>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round/>
            </a:ln>
          </c:spPr>
        </c:majorGridlines>
        <c:numFmt formatCode="General" sourceLinked="1"/>
        <c:majorTickMark val="none"/>
        <c:minorTickMark val="none"/>
        <c:tickLblPos val="nextTo"/>
        <c:spPr>
          <a:noFill/>
          <a:ln w="12700">
            <a:solidFill>
              <a:schemeClr val="tx1">
                <a:tint val="75000"/>
              </a:schemeClr>
            </a:solidFill>
            <a:prstDash val="solid"/>
            <a:round/>
          </a:ln>
        </c:spPr>
        <c:txPr>
          <a:bodyPr rot="-60000000" spcFirstLastPara="0" vertOverflow="ellipsis" vert="horz" wrap="square" anchor="ctr" anchorCtr="1"/>
          <a:lstStyle/>
          <a:p>
            <a:pPr>
              <a:defRPr lang="en-US" sz="1100" b="0" i="0" u="none" strike="noStrike" kern="1200" baseline="0">
                <a:solidFill>
                  <a:sysClr val="windowText" lastClr="000000"/>
                </a:solidFill>
                <a:latin typeface="+mn-lt"/>
                <a:ea typeface="+mn-ea"/>
                <a:cs typeface="+mn-cs"/>
              </a:defRPr>
            </a:pPr>
            <a:endParaRPr lang="en-US"/>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round/>
            </a:ln>
          </c:spPr>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Điểm</a:t>
                </a:r>
              </a:p>
            </c:rich>
          </c:tx>
          <c:overlay val="0"/>
        </c:title>
        <c:numFmt formatCode="0.00" sourceLinked="1"/>
        <c:majorTickMark val="none"/>
        <c:minorTickMark val="none"/>
        <c:tickLblPos val="nextTo"/>
        <c:txPr>
          <a:bodyPr rot="-60000000" spcFirstLastPara="0" vertOverflow="ellipsis" vert="horz" wrap="square" anchor="ctr" anchorCtr="1"/>
          <a:lstStyle/>
          <a:p>
            <a:pPr>
              <a:defRPr lang="en-US" sz="1100" b="0" i="0" u="none" strike="noStrike" kern="1200" baseline="0">
                <a:solidFill>
                  <a:schemeClr val="tx1"/>
                </a:solidFill>
                <a:latin typeface="+mn-lt"/>
                <a:ea typeface="+mn-ea"/>
                <a:cs typeface="+mn-cs"/>
              </a:defRPr>
            </a:pPr>
            <a:endParaRPr lang="en-US"/>
          </a:p>
        </c:txPr>
        <c:crossAx val="48650112"/>
        <c:crosses val="autoZero"/>
        <c:crossBetween val="between"/>
      </c:valAx>
    </c:plotArea>
    <c:legend>
      <c:legendPos val="b"/>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zero"/>
    <c:showDLblsOverMax val="1"/>
    <c:extLst>
      <c:ext uri="{0b15fc19-7d7d-44ad-8c2d-2c3a37ce22c3}">
        <chartProps xmlns="https://web.wps.cn/et/2018/main" chartId="{3380392d-8a8b-4e84-83d0-1f5c627acc25}"/>
      </c:ext>
    </c:extLst>
  </c:chart>
  <c:spPr>
    <a:ln w="9525">
      <a:solidFill>
        <a:srgbClr val="D9D9D9"/>
      </a:solidFill>
      <a:prstDash val="solid"/>
      <a:round/>
    </a:ln>
  </c:spPr>
  <c:txPr>
    <a:bodyPr/>
    <a:lstStyle/>
    <a:p>
      <a:pPr>
        <a:defRPr lang="en-US"/>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2.svg"/><Relationship Id="rId18" Type="http://schemas.openxmlformats.org/officeDocument/2006/relationships/image" Target="../media/image17.png"/><Relationship Id="rId26" Type="http://schemas.openxmlformats.org/officeDocument/2006/relationships/image" Target="../media/image25.png"/><Relationship Id="rId3" Type="http://schemas.openxmlformats.org/officeDocument/2006/relationships/image" Target="../media/image4.svg"/><Relationship Id="rId21" Type="http://schemas.openxmlformats.org/officeDocument/2006/relationships/image" Target="../media/image20.svg"/><Relationship Id="rId7" Type="http://schemas.openxmlformats.org/officeDocument/2006/relationships/image" Target="../media/image8.svg"/><Relationship Id="rId12" Type="http://schemas.openxmlformats.org/officeDocument/2006/relationships/image" Target="../media/image1.png"/><Relationship Id="rId17" Type="http://schemas.openxmlformats.org/officeDocument/2006/relationships/image" Target="../media/image16.svg"/><Relationship Id="rId25" Type="http://schemas.openxmlformats.org/officeDocument/2006/relationships/image" Target="../media/image24.svg"/><Relationship Id="rId2" Type="http://schemas.openxmlformats.org/officeDocument/2006/relationships/image" Target="../media/image3.png"/><Relationship Id="rId16" Type="http://schemas.openxmlformats.org/officeDocument/2006/relationships/image" Target="../media/image15.png"/><Relationship Id="rId20" Type="http://schemas.openxmlformats.org/officeDocument/2006/relationships/image" Target="../media/image19.png"/><Relationship Id="rId29" Type="http://schemas.openxmlformats.org/officeDocument/2006/relationships/image" Target="../media/image28.svg"/><Relationship Id="rId1" Type="http://schemas.openxmlformats.org/officeDocument/2006/relationships/chart" Target="../charts/chart1.xml"/><Relationship Id="rId6" Type="http://schemas.openxmlformats.org/officeDocument/2006/relationships/image" Target="../media/image7.png"/><Relationship Id="rId11" Type="http://schemas.openxmlformats.org/officeDocument/2006/relationships/image" Target="../media/image12.svg"/><Relationship Id="rId24" Type="http://schemas.openxmlformats.org/officeDocument/2006/relationships/image" Target="../media/image23.png"/><Relationship Id="rId5" Type="http://schemas.openxmlformats.org/officeDocument/2006/relationships/image" Target="../media/image6.svg"/><Relationship Id="rId15" Type="http://schemas.openxmlformats.org/officeDocument/2006/relationships/image" Target="../media/image14.svg"/><Relationship Id="rId23" Type="http://schemas.openxmlformats.org/officeDocument/2006/relationships/image" Target="../media/image22.svg"/><Relationship Id="rId28" Type="http://schemas.openxmlformats.org/officeDocument/2006/relationships/image" Target="../media/image27.png"/><Relationship Id="rId10" Type="http://schemas.openxmlformats.org/officeDocument/2006/relationships/image" Target="../media/image11.png"/><Relationship Id="rId19" Type="http://schemas.openxmlformats.org/officeDocument/2006/relationships/image" Target="../media/image18.svg"/><Relationship Id="rId4" Type="http://schemas.openxmlformats.org/officeDocument/2006/relationships/image" Target="../media/image5.png"/><Relationship Id="rId9" Type="http://schemas.openxmlformats.org/officeDocument/2006/relationships/image" Target="../media/image10.svg"/><Relationship Id="rId14" Type="http://schemas.openxmlformats.org/officeDocument/2006/relationships/image" Target="../media/image13.png"/><Relationship Id="rId22" Type="http://schemas.openxmlformats.org/officeDocument/2006/relationships/image" Target="../media/image21.png"/><Relationship Id="rId27" Type="http://schemas.openxmlformats.org/officeDocument/2006/relationships/image" Target="../media/image26.svg"/></Relationships>
</file>

<file path=xl/drawings/drawing1.xml><?xml version="1.0" encoding="utf-8"?>
<xdr:wsDr xmlns:xdr="http://schemas.openxmlformats.org/drawingml/2006/spreadsheetDrawing" xmlns:a="http://schemas.openxmlformats.org/drawingml/2006/main">
  <xdr:twoCellAnchor>
    <xdr:from>
      <xdr:col>0</xdr:col>
      <xdr:colOff>359569</xdr:colOff>
      <xdr:row>28</xdr:row>
      <xdr:rowOff>97631</xdr:rowOff>
    </xdr:from>
    <xdr:to>
      <xdr:col>0</xdr:col>
      <xdr:colOff>521494</xdr:colOff>
      <xdr:row>28</xdr:row>
      <xdr:rowOff>259556</xdr:rowOff>
    </xdr:to>
    <xdr:sp macro="" textlink="">
      <xdr:nvSpPr>
        <xdr:cNvPr id="3" name="Flowchart: Connector 2">
          <a:extLst>
            <a:ext uri="{FF2B5EF4-FFF2-40B4-BE49-F238E27FC236}">
              <a16:creationId xmlns:a16="http://schemas.microsoft.com/office/drawing/2014/main" id="{00000000-0008-0000-0000-000003000000}"/>
            </a:ext>
          </a:extLst>
        </xdr:cNvPr>
        <xdr:cNvSpPr/>
      </xdr:nvSpPr>
      <xdr:spPr>
        <a:xfrm>
          <a:off x="359410" y="16262985"/>
          <a:ext cx="161925" cy="161925"/>
        </a:xfrm>
        <a:prstGeom prst="flowChartConnector">
          <a:avLst/>
        </a:prstGeom>
        <a:solidFill>
          <a:srgbClr val="0E9258"/>
        </a:solidFill>
        <a:ln>
          <a:solidFill>
            <a:srgbClr val="0E9258"/>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363141</xdr:colOff>
      <xdr:row>29</xdr:row>
      <xdr:rowOff>101203</xdr:rowOff>
    </xdr:from>
    <xdr:to>
      <xdr:col>0</xdr:col>
      <xdr:colOff>525066</xdr:colOff>
      <xdr:row>29</xdr:row>
      <xdr:rowOff>263128</xdr:rowOff>
    </xdr:to>
    <xdr:sp macro="" textlink="">
      <xdr:nvSpPr>
        <xdr:cNvPr id="4" name="Flowchart: Connector 3">
          <a:extLst>
            <a:ext uri="{FF2B5EF4-FFF2-40B4-BE49-F238E27FC236}">
              <a16:creationId xmlns:a16="http://schemas.microsoft.com/office/drawing/2014/main" id="{00000000-0008-0000-0000-000004000000}"/>
            </a:ext>
          </a:extLst>
        </xdr:cNvPr>
        <xdr:cNvSpPr/>
      </xdr:nvSpPr>
      <xdr:spPr>
        <a:xfrm>
          <a:off x="362585" y="16647795"/>
          <a:ext cx="161925" cy="161925"/>
        </a:xfrm>
        <a:prstGeom prst="flowChartConnector">
          <a:avLst/>
        </a:prstGeom>
        <a:solidFill>
          <a:srgbClr val="FDA80B"/>
        </a:solidFill>
        <a:ln>
          <a:solidFill>
            <a:srgbClr val="FDA80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359569</xdr:colOff>
      <xdr:row>30</xdr:row>
      <xdr:rowOff>104775</xdr:rowOff>
    </xdr:from>
    <xdr:to>
      <xdr:col>0</xdr:col>
      <xdr:colOff>521494</xdr:colOff>
      <xdr:row>30</xdr:row>
      <xdr:rowOff>266700</xdr:rowOff>
    </xdr:to>
    <xdr:sp macro="" textlink="">
      <xdr:nvSpPr>
        <xdr:cNvPr id="5" name="Flowchart: Connector 4">
          <a:extLst>
            <a:ext uri="{FF2B5EF4-FFF2-40B4-BE49-F238E27FC236}">
              <a16:creationId xmlns:a16="http://schemas.microsoft.com/office/drawing/2014/main" id="{00000000-0008-0000-0000-000005000000}"/>
            </a:ext>
          </a:extLst>
        </xdr:cNvPr>
        <xdr:cNvSpPr/>
      </xdr:nvSpPr>
      <xdr:spPr>
        <a:xfrm>
          <a:off x="359410" y="17032605"/>
          <a:ext cx="161925" cy="161925"/>
        </a:xfrm>
        <a:prstGeom prst="flowChartConnector">
          <a:avLst/>
        </a:prstGeom>
        <a:solidFill>
          <a:srgbClr val="E06B13"/>
        </a:solidFill>
        <a:ln>
          <a:solidFill>
            <a:srgbClr val="E06B1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361950</xdr:colOff>
      <xdr:row>31</xdr:row>
      <xdr:rowOff>111919</xdr:rowOff>
    </xdr:from>
    <xdr:to>
      <xdr:col>0</xdr:col>
      <xdr:colOff>523875</xdr:colOff>
      <xdr:row>31</xdr:row>
      <xdr:rowOff>273844</xdr:rowOff>
    </xdr:to>
    <xdr:sp macro="" textlink="">
      <xdr:nvSpPr>
        <xdr:cNvPr id="6" name="Flowchart: Connector 5">
          <a:extLst>
            <a:ext uri="{FF2B5EF4-FFF2-40B4-BE49-F238E27FC236}">
              <a16:creationId xmlns:a16="http://schemas.microsoft.com/office/drawing/2014/main" id="{00000000-0008-0000-0000-000006000000}"/>
            </a:ext>
          </a:extLst>
        </xdr:cNvPr>
        <xdr:cNvSpPr/>
      </xdr:nvSpPr>
      <xdr:spPr>
        <a:xfrm>
          <a:off x="361950" y="17420590"/>
          <a:ext cx="161925" cy="161925"/>
        </a:xfrm>
        <a:prstGeom prst="flowChartConnector">
          <a:avLst/>
        </a:prstGeom>
        <a:solidFill>
          <a:srgbClr val="E13B3F"/>
        </a:solidFill>
        <a:ln>
          <a:solidFill>
            <a:srgbClr val="E13B3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352425</xdr:colOff>
      <xdr:row>27</xdr:row>
      <xdr:rowOff>104775</xdr:rowOff>
    </xdr:from>
    <xdr:to>
      <xdr:col>9</xdr:col>
      <xdr:colOff>333375</xdr:colOff>
      <xdr:row>27</xdr:row>
      <xdr:rowOff>295275</xdr:rowOff>
    </xdr:to>
    <xdr:sp macro="" textlink="">
      <xdr:nvSpPr>
        <xdr:cNvPr id="11" name="Rectangle: Rounded Corners 10">
          <a:extLst>
            <a:ext uri="{FF2B5EF4-FFF2-40B4-BE49-F238E27FC236}">
              <a16:creationId xmlns:a16="http://schemas.microsoft.com/office/drawing/2014/main" id="{00000000-0008-0000-0000-00000B000000}"/>
            </a:ext>
          </a:extLst>
        </xdr:cNvPr>
        <xdr:cNvSpPr/>
      </xdr:nvSpPr>
      <xdr:spPr>
        <a:xfrm>
          <a:off x="17964150" y="15889605"/>
          <a:ext cx="876300" cy="190500"/>
        </a:xfrm>
        <a:prstGeom prst="roundRect">
          <a:avLst/>
        </a:prstGeom>
        <a:solidFill>
          <a:srgbClr val="767B83"/>
        </a:solidFill>
        <a:ln>
          <a:solidFill>
            <a:srgbClr val="767B8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DOC</a:t>
          </a:r>
        </a:p>
      </xdr:txBody>
    </xdr:sp>
    <xdr:clientData/>
  </xdr:twoCellAnchor>
  <xdr:twoCellAnchor>
    <xdr:from>
      <xdr:col>8</xdr:col>
      <xdr:colOff>342900</xdr:colOff>
      <xdr:row>28</xdr:row>
      <xdr:rowOff>123825</xdr:rowOff>
    </xdr:from>
    <xdr:to>
      <xdr:col>9</xdr:col>
      <xdr:colOff>323850</xdr:colOff>
      <xdr:row>28</xdr:row>
      <xdr:rowOff>314325</xdr:rowOff>
    </xdr:to>
    <xdr:sp macro="" textlink="">
      <xdr:nvSpPr>
        <xdr:cNvPr id="12" name="Rectangle: Rounded Corners 11">
          <a:extLst>
            <a:ext uri="{FF2B5EF4-FFF2-40B4-BE49-F238E27FC236}">
              <a16:creationId xmlns:a16="http://schemas.microsoft.com/office/drawing/2014/main" id="{00000000-0008-0000-0000-00000C000000}"/>
            </a:ext>
          </a:extLst>
        </xdr:cNvPr>
        <xdr:cNvSpPr/>
      </xdr:nvSpPr>
      <xdr:spPr>
        <a:xfrm>
          <a:off x="17954625" y="16289655"/>
          <a:ext cx="876300" cy="190500"/>
        </a:xfrm>
        <a:prstGeom prst="roundRect">
          <a:avLst/>
        </a:prstGeom>
        <a:solidFill>
          <a:srgbClr val="57AA5F"/>
        </a:solidFill>
        <a:ln>
          <a:solidFill>
            <a:srgbClr val="57AA5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REVIEW</a:t>
          </a:r>
        </a:p>
      </xdr:txBody>
    </xdr:sp>
    <xdr:clientData/>
  </xdr:twoCellAnchor>
  <xdr:twoCellAnchor>
    <xdr:from>
      <xdr:col>8</xdr:col>
      <xdr:colOff>342900</xdr:colOff>
      <xdr:row>29</xdr:row>
      <xdr:rowOff>104775</xdr:rowOff>
    </xdr:from>
    <xdr:to>
      <xdr:col>9</xdr:col>
      <xdr:colOff>323850</xdr:colOff>
      <xdr:row>29</xdr:row>
      <xdr:rowOff>295275</xdr:rowOff>
    </xdr:to>
    <xdr:sp macro="" textlink="">
      <xdr:nvSpPr>
        <xdr:cNvPr id="13" name="Rectangle: Rounded Corners 12">
          <a:extLst>
            <a:ext uri="{FF2B5EF4-FFF2-40B4-BE49-F238E27FC236}">
              <a16:creationId xmlns:a16="http://schemas.microsoft.com/office/drawing/2014/main" id="{00000000-0008-0000-0000-00000D000000}"/>
            </a:ext>
          </a:extLst>
        </xdr:cNvPr>
        <xdr:cNvSpPr/>
      </xdr:nvSpPr>
      <xdr:spPr>
        <a:xfrm>
          <a:off x="17954625" y="16651605"/>
          <a:ext cx="876300" cy="190500"/>
        </a:xfrm>
        <a:prstGeom prst="roundRect">
          <a:avLst/>
        </a:prstGeom>
        <a:solidFill>
          <a:srgbClr val="913BD2"/>
        </a:solidFill>
        <a:ln>
          <a:solidFill>
            <a:srgbClr val="913BD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MAINT</a:t>
          </a:r>
        </a:p>
      </xdr:txBody>
    </xdr:sp>
    <xdr:clientData/>
  </xdr:twoCellAnchor>
  <xdr:twoCellAnchor>
    <xdr:from>
      <xdr:col>8</xdr:col>
      <xdr:colOff>342900</xdr:colOff>
      <xdr:row>30</xdr:row>
      <xdr:rowOff>85725</xdr:rowOff>
    </xdr:from>
    <xdr:to>
      <xdr:col>9</xdr:col>
      <xdr:colOff>323850</xdr:colOff>
      <xdr:row>30</xdr:row>
      <xdr:rowOff>276225</xdr:rowOff>
    </xdr:to>
    <xdr:sp macro="" textlink="">
      <xdr:nvSpPr>
        <xdr:cNvPr id="14" name="Rectangle: Rounded Corners 13">
          <a:extLst>
            <a:ext uri="{FF2B5EF4-FFF2-40B4-BE49-F238E27FC236}">
              <a16:creationId xmlns:a16="http://schemas.microsoft.com/office/drawing/2014/main" id="{00000000-0008-0000-0000-00000E000000}"/>
            </a:ext>
          </a:extLst>
        </xdr:cNvPr>
        <xdr:cNvSpPr/>
      </xdr:nvSpPr>
      <xdr:spPr>
        <a:xfrm>
          <a:off x="17954625" y="17013555"/>
          <a:ext cx="876300" cy="190500"/>
        </a:xfrm>
        <a:prstGeom prst="roundRect">
          <a:avLst/>
        </a:prstGeom>
        <a:solidFill>
          <a:srgbClr val="5754CA"/>
        </a:solidFill>
        <a:ln>
          <a:solidFill>
            <a:srgbClr val="5754C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RND</a:t>
          </a:r>
        </a:p>
      </xdr:txBody>
    </xdr:sp>
    <xdr:clientData/>
  </xdr:twoCellAnchor>
  <xdr:twoCellAnchor>
    <xdr:from>
      <xdr:col>0</xdr:col>
      <xdr:colOff>363141</xdr:colOff>
      <xdr:row>27</xdr:row>
      <xdr:rowOff>122635</xdr:rowOff>
    </xdr:from>
    <xdr:to>
      <xdr:col>0</xdr:col>
      <xdr:colOff>525066</xdr:colOff>
      <xdr:row>27</xdr:row>
      <xdr:rowOff>284560</xdr:rowOff>
    </xdr:to>
    <xdr:sp macro="" textlink="">
      <xdr:nvSpPr>
        <xdr:cNvPr id="16" name="Flowchart: Connector 15">
          <a:extLst>
            <a:ext uri="{FF2B5EF4-FFF2-40B4-BE49-F238E27FC236}">
              <a16:creationId xmlns:a16="http://schemas.microsoft.com/office/drawing/2014/main" id="{00000000-0008-0000-0000-000010000000}"/>
            </a:ext>
          </a:extLst>
        </xdr:cNvPr>
        <xdr:cNvSpPr/>
      </xdr:nvSpPr>
      <xdr:spPr>
        <a:xfrm>
          <a:off x="362585" y="15907385"/>
          <a:ext cx="161925" cy="161925"/>
        </a:xfrm>
        <a:prstGeom prst="flowChartConnector">
          <a:avLst/>
        </a:prstGeom>
        <a:solidFill>
          <a:srgbClr val="077444"/>
        </a:solidFill>
        <a:ln>
          <a:solidFill>
            <a:srgbClr val="07744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359569</xdr:colOff>
      <xdr:row>28</xdr:row>
      <xdr:rowOff>97631</xdr:rowOff>
    </xdr:from>
    <xdr:to>
      <xdr:col>0</xdr:col>
      <xdr:colOff>521494</xdr:colOff>
      <xdr:row>28</xdr:row>
      <xdr:rowOff>259556</xdr:rowOff>
    </xdr:to>
    <xdr:sp macro="" textlink="">
      <xdr:nvSpPr>
        <xdr:cNvPr id="17" name="Flowchart: Connector 16">
          <a:extLst>
            <a:ext uri="{FF2B5EF4-FFF2-40B4-BE49-F238E27FC236}">
              <a16:creationId xmlns:a16="http://schemas.microsoft.com/office/drawing/2014/main" id="{00000000-0008-0000-0000-000011000000}"/>
            </a:ext>
          </a:extLst>
        </xdr:cNvPr>
        <xdr:cNvSpPr/>
      </xdr:nvSpPr>
      <xdr:spPr>
        <a:xfrm>
          <a:off x="359410" y="16262985"/>
          <a:ext cx="161925" cy="161925"/>
        </a:xfrm>
        <a:prstGeom prst="flowChartConnector">
          <a:avLst/>
        </a:prstGeom>
        <a:solidFill>
          <a:srgbClr val="0E9258"/>
        </a:solidFill>
        <a:ln>
          <a:solidFill>
            <a:srgbClr val="0E9258"/>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363141</xdr:colOff>
      <xdr:row>29</xdr:row>
      <xdr:rowOff>101203</xdr:rowOff>
    </xdr:from>
    <xdr:to>
      <xdr:col>0</xdr:col>
      <xdr:colOff>525066</xdr:colOff>
      <xdr:row>29</xdr:row>
      <xdr:rowOff>263128</xdr:rowOff>
    </xdr:to>
    <xdr:sp macro="" textlink="">
      <xdr:nvSpPr>
        <xdr:cNvPr id="18" name="Flowchart: Connector 17">
          <a:extLst>
            <a:ext uri="{FF2B5EF4-FFF2-40B4-BE49-F238E27FC236}">
              <a16:creationId xmlns:a16="http://schemas.microsoft.com/office/drawing/2014/main" id="{00000000-0008-0000-0000-000012000000}"/>
            </a:ext>
          </a:extLst>
        </xdr:cNvPr>
        <xdr:cNvSpPr/>
      </xdr:nvSpPr>
      <xdr:spPr>
        <a:xfrm>
          <a:off x="362585" y="16647795"/>
          <a:ext cx="161925" cy="161925"/>
        </a:xfrm>
        <a:prstGeom prst="flowChartConnector">
          <a:avLst/>
        </a:prstGeom>
        <a:solidFill>
          <a:srgbClr val="FDA80B"/>
        </a:solidFill>
        <a:ln>
          <a:solidFill>
            <a:srgbClr val="FDA80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359569</xdr:colOff>
      <xdr:row>30</xdr:row>
      <xdr:rowOff>104775</xdr:rowOff>
    </xdr:from>
    <xdr:to>
      <xdr:col>0</xdr:col>
      <xdr:colOff>521494</xdr:colOff>
      <xdr:row>30</xdr:row>
      <xdr:rowOff>266700</xdr:rowOff>
    </xdr:to>
    <xdr:sp macro="" textlink="">
      <xdr:nvSpPr>
        <xdr:cNvPr id="19" name="Flowchart: Connector 18">
          <a:extLst>
            <a:ext uri="{FF2B5EF4-FFF2-40B4-BE49-F238E27FC236}">
              <a16:creationId xmlns:a16="http://schemas.microsoft.com/office/drawing/2014/main" id="{00000000-0008-0000-0000-000013000000}"/>
            </a:ext>
          </a:extLst>
        </xdr:cNvPr>
        <xdr:cNvSpPr/>
      </xdr:nvSpPr>
      <xdr:spPr>
        <a:xfrm>
          <a:off x="359410" y="17032605"/>
          <a:ext cx="161925" cy="161925"/>
        </a:xfrm>
        <a:prstGeom prst="flowChartConnector">
          <a:avLst/>
        </a:prstGeom>
        <a:solidFill>
          <a:srgbClr val="E06B13"/>
        </a:solidFill>
        <a:ln>
          <a:solidFill>
            <a:srgbClr val="E06B1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361950</xdr:colOff>
      <xdr:row>31</xdr:row>
      <xdr:rowOff>111919</xdr:rowOff>
    </xdr:from>
    <xdr:to>
      <xdr:col>0</xdr:col>
      <xdr:colOff>523875</xdr:colOff>
      <xdr:row>31</xdr:row>
      <xdr:rowOff>273844</xdr:rowOff>
    </xdr:to>
    <xdr:sp macro="" textlink="">
      <xdr:nvSpPr>
        <xdr:cNvPr id="20" name="Flowchart: Connector 19">
          <a:extLst>
            <a:ext uri="{FF2B5EF4-FFF2-40B4-BE49-F238E27FC236}">
              <a16:creationId xmlns:a16="http://schemas.microsoft.com/office/drawing/2014/main" id="{00000000-0008-0000-0000-000014000000}"/>
            </a:ext>
          </a:extLst>
        </xdr:cNvPr>
        <xdr:cNvSpPr/>
      </xdr:nvSpPr>
      <xdr:spPr>
        <a:xfrm>
          <a:off x="361950" y="17420590"/>
          <a:ext cx="161925" cy="161925"/>
        </a:xfrm>
        <a:prstGeom prst="flowChartConnector">
          <a:avLst/>
        </a:prstGeom>
        <a:solidFill>
          <a:srgbClr val="E13B3F"/>
        </a:solidFill>
        <a:ln>
          <a:solidFill>
            <a:srgbClr val="E13B3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201995</xdr:colOff>
      <xdr:row>27</xdr:row>
      <xdr:rowOff>114300</xdr:rowOff>
    </xdr:from>
    <xdr:to>
      <xdr:col>5</xdr:col>
      <xdr:colOff>365444</xdr:colOff>
      <xdr:row>27</xdr:row>
      <xdr:rowOff>304800</xdr:rowOff>
    </xdr:to>
    <xdr:sp macro="" textlink="">
      <xdr:nvSpPr>
        <xdr:cNvPr id="21" name="Rectangle: Rounded Corners 20">
          <a:extLst>
            <a:ext uri="{FF2B5EF4-FFF2-40B4-BE49-F238E27FC236}">
              <a16:creationId xmlns:a16="http://schemas.microsoft.com/office/drawing/2014/main" id="{00000000-0008-0000-0000-000015000000}"/>
            </a:ext>
          </a:extLst>
        </xdr:cNvPr>
        <xdr:cNvSpPr/>
      </xdr:nvSpPr>
      <xdr:spPr>
        <a:xfrm>
          <a:off x="8612505" y="15899130"/>
          <a:ext cx="3801745" cy="190500"/>
        </a:xfrm>
        <a:prstGeom prst="roundRect">
          <a:avLst/>
        </a:prstGeom>
        <a:solidFill>
          <a:srgbClr val="2C6FE4"/>
        </a:solidFill>
        <a:ln>
          <a:solidFill>
            <a:srgbClr val="2C6FE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DEV</a:t>
          </a:r>
        </a:p>
      </xdr:txBody>
    </xdr:sp>
    <xdr:clientData/>
  </xdr:twoCellAnchor>
  <xdr:twoCellAnchor>
    <xdr:from>
      <xdr:col>4</xdr:col>
      <xdr:colOff>201995</xdr:colOff>
      <xdr:row>28</xdr:row>
      <xdr:rowOff>95250</xdr:rowOff>
    </xdr:from>
    <xdr:to>
      <xdr:col>5</xdr:col>
      <xdr:colOff>365444</xdr:colOff>
      <xdr:row>28</xdr:row>
      <xdr:rowOff>285750</xdr:rowOff>
    </xdr:to>
    <xdr:sp macro="" textlink="">
      <xdr:nvSpPr>
        <xdr:cNvPr id="22" name="Rectangle: Rounded Corners 21">
          <a:extLst>
            <a:ext uri="{FF2B5EF4-FFF2-40B4-BE49-F238E27FC236}">
              <a16:creationId xmlns:a16="http://schemas.microsoft.com/office/drawing/2014/main" id="{00000000-0008-0000-0000-000016000000}"/>
            </a:ext>
          </a:extLst>
        </xdr:cNvPr>
        <xdr:cNvSpPr/>
      </xdr:nvSpPr>
      <xdr:spPr>
        <a:xfrm>
          <a:off x="8612505" y="16261080"/>
          <a:ext cx="3801745" cy="190500"/>
        </a:xfrm>
        <a:prstGeom prst="roundRect">
          <a:avLst/>
        </a:prstGeom>
        <a:solidFill>
          <a:srgbClr val="019FB4"/>
        </a:solidFill>
        <a:ln>
          <a:solidFill>
            <a:srgbClr val="019FB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API</a:t>
          </a:r>
        </a:p>
      </xdr:txBody>
    </xdr:sp>
    <xdr:clientData/>
  </xdr:twoCellAnchor>
  <xdr:twoCellAnchor>
    <xdr:from>
      <xdr:col>4</xdr:col>
      <xdr:colOff>201995</xdr:colOff>
      <xdr:row>29</xdr:row>
      <xdr:rowOff>76200</xdr:rowOff>
    </xdr:from>
    <xdr:to>
      <xdr:col>5</xdr:col>
      <xdr:colOff>365444</xdr:colOff>
      <xdr:row>29</xdr:row>
      <xdr:rowOff>266700</xdr:rowOff>
    </xdr:to>
    <xdr:sp macro="" textlink="">
      <xdr:nvSpPr>
        <xdr:cNvPr id="23" name="Rectangle: Rounded Corners 22">
          <a:extLst>
            <a:ext uri="{FF2B5EF4-FFF2-40B4-BE49-F238E27FC236}">
              <a16:creationId xmlns:a16="http://schemas.microsoft.com/office/drawing/2014/main" id="{00000000-0008-0000-0000-000017000000}"/>
            </a:ext>
          </a:extLst>
        </xdr:cNvPr>
        <xdr:cNvSpPr/>
      </xdr:nvSpPr>
      <xdr:spPr>
        <a:xfrm>
          <a:off x="8612505" y="16623030"/>
          <a:ext cx="3801745" cy="190500"/>
        </a:xfrm>
        <a:prstGeom prst="roundRect">
          <a:avLst/>
        </a:prstGeom>
        <a:solidFill>
          <a:srgbClr val="DC3E43"/>
        </a:solidFill>
        <a:ln>
          <a:solidFill>
            <a:srgbClr val="DC3E4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BUG</a:t>
          </a:r>
        </a:p>
      </xdr:txBody>
    </xdr:sp>
    <xdr:clientData/>
  </xdr:twoCellAnchor>
  <xdr:twoCellAnchor>
    <xdr:from>
      <xdr:col>4</xdr:col>
      <xdr:colOff>189514</xdr:colOff>
      <xdr:row>30</xdr:row>
      <xdr:rowOff>95250</xdr:rowOff>
    </xdr:from>
    <xdr:to>
      <xdr:col>5</xdr:col>
      <xdr:colOff>352963</xdr:colOff>
      <xdr:row>30</xdr:row>
      <xdr:rowOff>285750</xdr:rowOff>
    </xdr:to>
    <xdr:sp macro="" textlink="">
      <xdr:nvSpPr>
        <xdr:cNvPr id="24" name="Rectangle: Rounded Corners 23">
          <a:extLst>
            <a:ext uri="{FF2B5EF4-FFF2-40B4-BE49-F238E27FC236}">
              <a16:creationId xmlns:a16="http://schemas.microsoft.com/office/drawing/2014/main" id="{00000000-0008-0000-0000-000018000000}"/>
            </a:ext>
          </a:extLst>
        </xdr:cNvPr>
        <xdr:cNvSpPr/>
      </xdr:nvSpPr>
      <xdr:spPr>
        <a:xfrm>
          <a:off x="8599805" y="17023080"/>
          <a:ext cx="3801745" cy="190500"/>
        </a:xfrm>
        <a:prstGeom prst="roundRect">
          <a:avLst/>
        </a:prstGeom>
        <a:solidFill>
          <a:srgbClr val="F48F02"/>
        </a:solidFill>
        <a:ln>
          <a:solidFill>
            <a:srgbClr val="F48F0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SUPPORT</a:t>
          </a:r>
        </a:p>
      </xdr:txBody>
    </xdr:sp>
    <xdr:clientData/>
  </xdr:twoCellAnchor>
  <xdr:twoCellAnchor>
    <xdr:from>
      <xdr:col>8</xdr:col>
      <xdr:colOff>352425</xdr:colOff>
      <xdr:row>27</xdr:row>
      <xdr:rowOff>104775</xdr:rowOff>
    </xdr:from>
    <xdr:to>
      <xdr:col>9</xdr:col>
      <xdr:colOff>333375</xdr:colOff>
      <xdr:row>27</xdr:row>
      <xdr:rowOff>295275</xdr:rowOff>
    </xdr:to>
    <xdr:sp macro="" textlink="">
      <xdr:nvSpPr>
        <xdr:cNvPr id="25" name="Rectangle: Rounded Corners 24">
          <a:extLst>
            <a:ext uri="{FF2B5EF4-FFF2-40B4-BE49-F238E27FC236}">
              <a16:creationId xmlns:a16="http://schemas.microsoft.com/office/drawing/2014/main" id="{00000000-0008-0000-0000-000019000000}"/>
            </a:ext>
          </a:extLst>
        </xdr:cNvPr>
        <xdr:cNvSpPr/>
      </xdr:nvSpPr>
      <xdr:spPr>
        <a:xfrm>
          <a:off x="17964150" y="15889605"/>
          <a:ext cx="876300" cy="190500"/>
        </a:xfrm>
        <a:prstGeom prst="roundRect">
          <a:avLst/>
        </a:prstGeom>
        <a:solidFill>
          <a:srgbClr val="767B83"/>
        </a:solidFill>
        <a:ln>
          <a:solidFill>
            <a:srgbClr val="767B8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DOC</a:t>
          </a:r>
        </a:p>
      </xdr:txBody>
    </xdr:sp>
    <xdr:clientData/>
  </xdr:twoCellAnchor>
  <xdr:twoCellAnchor>
    <xdr:from>
      <xdr:col>8</xdr:col>
      <xdr:colOff>342900</xdr:colOff>
      <xdr:row>28</xdr:row>
      <xdr:rowOff>123825</xdr:rowOff>
    </xdr:from>
    <xdr:to>
      <xdr:col>9</xdr:col>
      <xdr:colOff>323850</xdr:colOff>
      <xdr:row>28</xdr:row>
      <xdr:rowOff>314325</xdr:rowOff>
    </xdr:to>
    <xdr:sp macro="" textlink="">
      <xdr:nvSpPr>
        <xdr:cNvPr id="26" name="Rectangle: Rounded Corners 25">
          <a:extLst>
            <a:ext uri="{FF2B5EF4-FFF2-40B4-BE49-F238E27FC236}">
              <a16:creationId xmlns:a16="http://schemas.microsoft.com/office/drawing/2014/main" id="{00000000-0008-0000-0000-00001A000000}"/>
            </a:ext>
          </a:extLst>
        </xdr:cNvPr>
        <xdr:cNvSpPr/>
      </xdr:nvSpPr>
      <xdr:spPr>
        <a:xfrm>
          <a:off x="17954625" y="16289655"/>
          <a:ext cx="876300" cy="190500"/>
        </a:xfrm>
        <a:prstGeom prst="roundRect">
          <a:avLst/>
        </a:prstGeom>
        <a:solidFill>
          <a:srgbClr val="57AA5F"/>
        </a:solidFill>
        <a:ln>
          <a:solidFill>
            <a:srgbClr val="57AA5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REVIEW</a:t>
          </a:r>
        </a:p>
      </xdr:txBody>
    </xdr:sp>
    <xdr:clientData/>
  </xdr:twoCellAnchor>
  <xdr:twoCellAnchor>
    <xdr:from>
      <xdr:col>8</xdr:col>
      <xdr:colOff>342900</xdr:colOff>
      <xdr:row>29</xdr:row>
      <xdr:rowOff>104775</xdr:rowOff>
    </xdr:from>
    <xdr:to>
      <xdr:col>9</xdr:col>
      <xdr:colOff>323850</xdr:colOff>
      <xdr:row>29</xdr:row>
      <xdr:rowOff>295275</xdr:rowOff>
    </xdr:to>
    <xdr:sp macro="" textlink="">
      <xdr:nvSpPr>
        <xdr:cNvPr id="27" name="Rectangle: Rounded Corners 26">
          <a:extLst>
            <a:ext uri="{FF2B5EF4-FFF2-40B4-BE49-F238E27FC236}">
              <a16:creationId xmlns:a16="http://schemas.microsoft.com/office/drawing/2014/main" id="{00000000-0008-0000-0000-00001B000000}"/>
            </a:ext>
          </a:extLst>
        </xdr:cNvPr>
        <xdr:cNvSpPr/>
      </xdr:nvSpPr>
      <xdr:spPr>
        <a:xfrm>
          <a:off x="17954625" y="16651605"/>
          <a:ext cx="876300" cy="190500"/>
        </a:xfrm>
        <a:prstGeom prst="roundRect">
          <a:avLst/>
        </a:prstGeom>
        <a:solidFill>
          <a:srgbClr val="913BD2"/>
        </a:solidFill>
        <a:ln>
          <a:solidFill>
            <a:srgbClr val="913BD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MAINT</a:t>
          </a:r>
        </a:p>
      </xdr:txBody>
    </xdr:sp>
    <xdr:clientData/>
  </xdr:twoCellAnchor>
  <xdr:twoCellAnchor>
    <xdr:from>
      <xdr:col>8</xdr:col>
      <xdr:colOff>342900</xdr:colOff>
      <xdr:row>30</xdr:row>
      <xdr:rowOff>85725</xdr:rowOff>
    </xdr:from>
    <xdr:to>
      <xdr:col>9</xdr:col>
      <xdr:colOff>323850</xdr:colOff>
      <xdr:row>30</xdr:row>
      <xdr:rowOff>276225</xdr:rowOff>
    </xdr:to>
    <xdr:sp macro="" textlink="">
      <xdr:nvSpPr>
        <xdr:cNvPr id="28" name="Rectangle: Rounded Corners 27">
          <a:extLst>
            <a:ext uri="{FF2B5EF4-FFF2-40B4-BE49-F238E27FC236}">
              <a16:creationId xmlns:a16="http://schemas.microsoft.com/office/drawing/2014/main" id="{00000000-0008-0000-0000-00001C000000}"/>
            </a:ext>
          </a:extLst>
        </xdr:cNvPr>
        <xdr:cNvSpPr/>
      </xdr:nvSpPr>
      <xdr:spPr>
        <a:xfrm>
          <a:off x="17954625" y="17013555"/>
          <a:ext cx="876300" cy="190500"/>
        </a:xfrm>
        <a:prstGeom prst="roundRect">
          <a:avLst/>
        </a:prstGeom>
        <a:solidFill>
          <a:srgbClr val="5754CA"/>
        </a:solidFill>
        <a:ln>
          <a:solidFill>
            <a:srgbClr val="5754C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RND</a:t>
          </a:r>
        </a:p>
      </xdr:txBody>
    </xdr:sp>
    <xdr:clientData/>
  </xdr:twoCellAnchor>
  <xdr:twoCellAnchor editAs="oneCell">
    <xdr:from>
      <xdr:col>4</xdr:col>
      <xdr:colOff>24434</xdr:colOff>
      <xdr:row>0</xdr:row>
      <xdr:rowOff>93179</xdr:rowOff>
    </xdr:from>
    <xdr:to>
      <xdr:col>4</xdr:col>
      <xdr:colOff>362696</xdr:colOff>
      <xdr:row>1</xdr:row>
      <xdr:rowOff>243923</xdr:rowOff>
    </xdr:to>
    <xdr:pic>
      <xdr:nvPicPr>
        <xdr:cNvPr id="29" name="Graphic 28">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434705" y="92710"/>
          <a:ext cx="338455" cy="33210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773206</xdr:colOff>
      <xdr:row>24</xdr:row>
      <xdr:rowOff>11206</xdr:rowOff>
    </xdr:from>
    <xdr:to>
      <xdr:col>13</xdr:col>
      <xdr:colOff>806823</xdr:colOff>
      <xdr:row>32</xdr:row>
      <xdr:rowOff>291352</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363141</xdr:colOff>
      <xdr:row>35</xdr:row>
      <xdr:rowOff>122635</xdr:rowOff>
    </xdr:from>
    <xdr:to>
      <xdr:col>8</xdr:col>
      <xdr:colOff>525066</xdr:colOff>
      <xdr:row>35</xdr:row>
      <xdr:rowOff>284560</xdr:rowOff>
    </xdr:to>
    <xdr:sp macro="" textlink="">
      <xdr:nvSpPr>
        <xdr:cNvPr id="26" name="Flowchart: Connector 25">
          <a:extLst>
            <a:ext uri="{FF2B5EF4-FFF2-40B4-BE49-F238E27FC236}">
              <a16:creationId xmlns:a16="http://schemas.microsoft.com/office/drawing/2014/main" id="{00000000-0008-0000-0100-00001A000000}"/>
            </a:ext>
          </a:extLst>
        </xdr:cNvPr>
        <xdr:cNvSpPr/>
      </xdr:nvSpPr>
      <xdr:spPr>
        <a:xfrm>
          <a:off x="9192260" y="17048480"/>
          <a:ext cx="161925" cy="161925"/>
        </a:xfrm>
        <a:prstGeom prst="flowChartConnector">
          <a:avLst/>
        </a:prstGeom>
        <a:solidFill>
          <a:srgbClr val="077444"/>
        </a:solidFill>
        <a:ln>
          <a:solidFill>
            <a:srgbClr val="07744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359569</xdr:colOff>
      <xdr:row>36</xdr:row>
      <xdr:rowOff>154781</xdr:rowOff>
    </xdr:from>
    <xdr:to>
      <xdr:col>8</xdr:col>
      <xdr:colOff>521494</xdr:colOff>
      <xdr:row>36</xdr:row>
      <xdr:rowOff>316706</xdr:rowOff>
    </xdr:to>
    <xdr:sp macro="" textlink="">
      <xdr:nvSpPr>
        <xdr:cNvPr id="27" name="Flowchart: Connector 26">
          <a:extLst>
            <a:ext uri="{FF2B5EF4-FFF2-40B4-BE49-F238E27FC236}">
              <a16:creationId xmlns:a16="http://schemas.microsoft.com/office/drawing/2014/main" id="{00000000-0008-0000-0100-00001B000000}"/>
            </a:ext>
          </a:extLst>
        </xdr:cNvPr>
        <xdr:cNvSpPr/>
      </xdr:nvSpPr>
      <xdr:spPr>
        <a:xfrm>
          <a:off x="9189085" y="17461230"/>
          <a:ext cx="161925" cy="161925"/>
        </a:xfrm>
        <a:prstGeom prst="flowChartConnector">
          <a:avLst/>
        </a:prstGeom>
        <a:solidFill>
          <a:srgbClr val="0E9258"/>
        </a:solidFill>
        <a:ln>
          <a:solidFill>
            <a:srgbClr val="0E9258"/>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363141</xdr:colOff>
      <xdr:row>37</xdr:row>
      <xdr:rowOff>101203</xdr:rowOff>
    </xdr:from>
    <xdr:to>
      <xdr:col>8</xdr:col>
      <xdr:colOff>525066</xdr:colOff>
      <xdr:row>37</xdr:row>
      <xdr:rowOff>263128</xdr:rowOff>
    </xdr:to>
    <xdr:sp macro="" textlink="">
      <xdr:nvSpPr>
        <xdr:cNvPr id="28" name="Flowchart: Connector 27">
          <a:extLst>
            <a:ext uri="{FF2B5EF4-FFF2-40B4-BE49-F238E27FC236}">
              <a16:creationId xmlns:a16="http://schemas.microsoft.com/office/drawing/2014/main" id="{00000000-0008-0000-0100-00001C000000}"/>
            </a:ext>
          </a:extLst>
        </xdr:cNvPr>
        <xdr:cNvSpPr/>
      </xdr:nvSpPr>
      <xdr:spPr>
        <a:xfrm>
          <a:off x="9192260" y="17839055"/>
          <a:ext cx="161925" cy="161925"/>
        </a:xfrm>
        <a:prstGeom prst="flowChartConnector">
          <a:avLst/>
        </a:prstGeom>
        <a:solidFill>
          <a:srgbClr val="FDA80B"/>
        </a:solidFill>
        <a:ln>
          <a:solidFill>
            <a:srgbClr val="FDA80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359569</xdr:colOff>
      <xdr:row>38</xdr:row>
      <xdr:rowOff>104775</xdr:rowOff>
    </xdr:from>
    <xdr:to>
      <xdr:col>8</xdr:col>
      <xdr:colOff>521494</xdr:colOff>
      <xdr:row>38</xdr:row>
      <xdr:rowOff>266700</xdr:rowOff>
    </xdr:to>
    <xdr:sp macro="" textlink="">
      <xdr:nvSpPr>
        <xdr:cNvPr id="29" name="Flowchart: Connector 28">
          <a:extLst>
            <a:ext uri="{FF2B5EF4-FFF2-40B4-BE49-F238E27FC236}">
              <a16:creationId xmlns:a16="http://schemas.microsoft.com/office/drawing/2014/main" id="{00000000-0008-0000-0100-00001D000000}"/>
            </a:ext>
          </a:extLst>
        </xdr:cNvPr>
        <xdr:cNvSpPr/>
      </xdr:nvSpPr>
      <xdr:spPr>
        <a:xfrm>
          <a:off x="9189085" y="18274030"/>
          <a:ext cx="161925" cy="161925"/>
        </a:xfrm>
        <a:prstGeom prst="flowChartConnector">
          <a:avLst/>
        </a:prstGeom>
        <a:solidFill>
          <a:srgbClr val="E06B13"/>
        </a:solidFill>
        <a:ln>
          <a:solidFill>
            <a:srgbClr val="E06B1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361950</xdr:colOff>
      <xdr:row>39</xdr:row>
      <xdr:rowOff>111919</xdr:rowOff>
    </xdr:from>
    <xdr:to>
      <xdr:col>8</xdr:col>
      <xdr:colOff>523875</xdr:colOff>
      <xdr:row>39</xdr:row>
      <xdr:rowOff>273844</xdr:rowOff>
    </xdr:to>
    <xdr:sp macro="" textlink="">
      <xdr:nvSpPr>
        <xdr:cNvPr id="30" name="Flowchart: Connector 29">
          <a:extLst>
            <a:ext uri="{FF2B5EF4-FFF2-40B4-BE49-F238E27FC236}">
              <a16:creationId xmlns:a16="http://schemas.microsoft.com/office/drawing/2014/main" id="{00000000-0008-0000-0100-00001E000000}"/>
            </a:ext>
          </a:extLst>
        </xdr:cNvPr>
        <xdr:cNvSpPr/>
      </xdr:nvSpPr>
      <xdr:spPr>
        <a:xfrm>
          <a:off x="9191625" y="18712180"/>
          <a:ext cx="161925" cy="161925"/>
        </a:xfrm>
        <a:prstGeom prst="flowChartConnector">
          <a:avLst/>
        </a:prstGeom>
        <a:solidFill>
          <a:srgbClr val="E13B3F"/>
        </a:solidFill>
        <a:ln>
          <a:solidFill>
            <a:srgbClr val="E13B3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5</xdr:row>
      <xdr:rowOff>4330</xdr:rowOff>
    </xdr:from>
    <xdr:to>
      <xdr:col>0</xdr:col>
      <xdr:colOff>228600</xdr:colOff>
      <xdr:row>5</xdr:row>
      <xdr:rowOff>236740</xdr:rowOff>
    </xdr:to>
    <xdr:pic>
      <xdr:nvPicPr>
        <xdr:cNvPr id="4" name="Graphic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0" y="1250315"/>
          <a:ext cx="228600" cy="232410"/>
        </a:xfrm>
        <a:prstGeom prst="rect">
          <a:avLst/>
        </a:prstGeom>
      </xdr:spPr>
    </xdr:pic>
    <xdr:clientData/>
  </xdr:twoCellAnchor>
  <xdr:twoCellAnchor editAs="oneCell">
    <xdr:from>
      <xdr:col>0</xdr:col>
      <xdr:colOff>0</xdr:colOff>
      <xdr:row>6</xdr:row>
      <xdr:rowOff>8660</xdr:rowOff>
    </xdr:from>
    <xdr:to>
      <xdr:col>0</xdr:col>
      <xdr:colOff>228600</xdr:colOff>
      <xdr:row>6</xdr:row>
      <xdr:rowOff>241070</xdr:rowOff>
    </xdr:to>
    <xdr:pic>
      <xdr:nvPicPr>
        <xdr:cNvPr id="6" name="Graphic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0" y="1510030"/>
          <a:ext cx="228600" cy="232410"/>
        </a:xfrm>
        <a:prstGeom prst="rect">
          <a:avLst/>
        </a:prstGeom>
      </xdr:spPr>
    </xdr:pic>
    <xdr:clientData/>
  </xdr:twoCellAnchor>
  <xdr:twoCellAnchor editAs="oneCell">
    <xdr:from>
      <xdr:col>0</xdr:col>
      <xdr:colOff>0</xdr:colOff>
      <xdr:row>7</xdr:row>
      <xdr:rowOff>12990</xdr:rowOff>
    </xdr:from>
    <xdr:to>
      <xdr:col>0</xdr:col>
      <xdr:colOff>228600</xdr:colOff>
      <xdr:row>8</xdr:row>
      <xdr:rowOff>1560</xdr:rowOff>
    </xdr:to>
    <xdr:pic>
      <xdr:nvPicPr>
        <xdr:cNvPr id="8" name="Graphic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0" y="1769745"/>
          <a:ext cx="228600" cy="243840"/>
        </a:xfrm>
        <a:prstGeom prst="rect">
          <a:avLst/>
        </a:prstGeom>
      </xdr:spPr>
    </xdr:pic>
    <xdr:clientData/>
  </xdr:twoCellAnchor>
  <xdr:twoCellAnchor editAs="oneCell">
    <xdr:from>
      <xdr:col>4</xdr:col>
      <xdr:colOff>0</xdr:colOff>
      <xdr:row>5</xdr:row>
      <xdr:rowOff>0</xdr:rowOff>
    </xdr:from>
    <xdr:to>
      <xdr:col>4</xdr:col>
      <xdr:colOff>228600</xdr:colOff>
      <xdr:row>5</xdr:row>
      <xdr:rowOff>228600</xdr:rowOff>
    </xdr:to>
    <xdr:pic>
      <xdr:nvPicPr>
        <xdr:cNvPr id="10" name="Graphic 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5514975" y="1246505"/>
          <a:ext cx="228600" cy="228600"/>
        </a:xfrm>
        <a:prstGeom prst="rect">
          <a:avLst/>
        </a:prstGeom>
      </xdr:spPr>
    </xdr:pic>
    <xdr:clientData/>
  </xdr:twoCellAnchor>
  <xdr:twoCellAnchor editAs="oneCell">
    <xdr:from>
      <xdr:col>4</xdr:col>
      <xdr:colOff>0</xdr:colOff>
      <xdr:row>6</xdr:row>
      <xdr:rowOff>8660</xdr:rowOff>
    </xdr:from>
    <xdr:to>
      <xdr:col>4</xdr:col>
      <xdr:colOff>228600</xdr:colOff>
      <xdr:row>6</xdr:row>
      <xdr:rowOff>241070</xdr:rowOff>
    </xdr:to>
    <xdr:pic>
      <xdr:nvPicPr>
        <xdr:cNvPr id="12" name="Graphic 11">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5514975" y="1510030"/>
          <a:ext cx="228600" cy="232410"/>
        </a:xfrm>
        <a:prstGeom prst="rect">
          <a:avLst/>
        </a:prstGeom>
      </xdr:spPr>
    </xdr:pic>
    <xdr:clientData/>
  </xdr:twoCellAnchor>
  <xdr:twoCellAnchor editAs="oneCell">
    <xdr:from>
      <xdr:col>4</xdr:col>
      <xdr:colOff>0</xdr:colOff>
      <xdr:row>7</xdr:row>
      <xdr:rowOff>12990</xdr:rowOff>
    </xdr:from>
    <xdr:to>
      <xdr:col>4</xdr:col>
      <xdr:colOff>228600</xdr:colOff>
      <xdr:row>8</xdr:row>
      <xdr:rowOff>1560</xdr:rowOff>
    </xdr:to>
    <xdr:pic>
      <xdr:nvPicPr>
        <xdr:cNvPr id="14" name="Graphic 13">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5514975" y="1769745"/>
          <a:ext cx="228600" cy="243840"/>
        </a:xfrm>
        <a:prstGeom prst="rect">
          <a:avLst/>
        </a:prstGeom>
      </xdr:spPr>
    </xdr:pic>
    <xdr:clientData/>
  </xdr:twoCellAnchor>
  <xdr:twoCellAnchor editAs="oneCell">
    <xdr:from>
      <xdr:col>10</xdr:col>
      <xdr:colOff>0</xdr:colOff>
      <xdr:row>5</xdr:row>
      <xdr:rowOff>4330</xdr:rowOff>
    </xdr:from>
    <xdr:to>
      <xdr:col>10</xdr:col>
      <xdr:colOff>228600</xdr:colOff>
      <xdr:row>5</xdr:row>
      <xdr:rowOff>236740</xdr:rowOff>
    </xdr:to>
    <xdr:pic>
      <xdr:nvPicPr>
        <xdr:cNvPr id="16" name="Graphic 15">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0487025" y="1250315"/>
          <a:ext cx="228600" cy="232410"/>
        </a:xfrm>
        <a:prstGeom prst="rect">
          <a:avLst/>
        </a:prstGeom>
      </xdr:spPr>
    </xdr:pic>
    <xdr:clientData/>
  </xdr:twoCellAnchor>
  <xdr:twoCellAnchor editAs="oneCell">
    <xdr:from>
      <xdr:col>10</xdr:col>
      <xdr:colOff>0</xdr:colOff>
      <xdr:row>6</xdr:row>
      <xdr:rowOff>8660</xdr:rowOff>
    </xdr:from>
    <xdr:to>
      <xdr:col>10</xdr:col>
      <xdr:colOff>228600</xdr:colOff>
      <xdr:row>6</xdr:row>
      <xdr:rowOff>241070</xdr:rowOff>
    </xdr:to>
    <xdr:pic>
      <xdr:nvPicPr>
        <xdr:cNvPr id="18" name="Graphic 17">
          <a:extLst>
            <a:ext uri="{FF2B5EF4-FFF2-40B4-BE49-F238E27FC236}">
              <a16:creationId xmlns:a16="http://schemas.microsoft.com/office/drawing/2014/main" id="{00000000-0008-0000-0100-000012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0487025" y="1510030"/>
          <a:ext cx="228600" cy="232410"/>
        </a:xfrm>
        <a:prstGeom prst="rect">
          <a:avLst/>
        </a:prstGeom>
      </xdr:spPr>
    </xdr:pic>
    <xdr:clientData/>
  </xdr:twoCellAnchor>
  <xdr:twoCellAnchor editAs="oneCell">
    <xdr:from>
      <xdr:col>3</xdr:col>
      <xdr:colOff>91109</xdr:colOff>
      <xdr:row>0</xdr:row>
      <xdr:rowOff>140804</xdr:rowOff>
    </xdr:from>
    <xdr:to>
      <xdr:col>3</xdr:col>
      <xdr:colOff>410321</xdr:colOff>
      <xdr:row>1</xdr:row>
      <xdr:rowOff>207728</xdr:rowOff>
    </xdr:to>
    <xdr:pic>
      <xdr:nvPicPr>
        <xdr:cNvPr id="20" name="Graphic 19">
          <a:extLst>
            <a:ext uri="{FF2B5EF4-FFF2-40B4-BE49-F238E27FC236}">
              <a16:creationId xmlns:a16="http://schemas.microsoft.com/office/drawing/2014/main" id="{00000000-0008-0000-0100-000014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4777105" y="140335"/>
          <a:ext cx="319405" cy="322580"/>
        </a:xfrm>
        <a:prstGeom prst="rect">
          <a:avLst/>
        </a:prstGeom>
      </xdr:spPr>
    </xdr:pic>
    <xdr:clientData/>
  </xdr:twoCellAnchor>
  <xdr:twoCellAnchor editAs="oneCell">
    <xdr:from>
      <xdr:col>4</xdr:col>
      <xdr:colOff>654326</xdr:colOff>
      <xdr:row>9</xdr:row>
      <xdr:rowOff>41413</xdr:rowOff>
    </xdr:from>
    <xdr:to>
      <xdr:col>5</xdr:col>
      <xdr:colOff>54666</xdr:colOff>
      <xdr:row>9</xdr:row>
      <xdr:rowOff>270013</xdr:rowOff>
    </xdr:to>
    <xdr:pic>
      <xdr:nvPicPr>
        <xdr:cNvPr id="22" name="Graphic 21">
          <a:extLst>
            <a:ext uri="{FF2B5EF4-FFF2-40B4-BE49-F238E27FC236}">
              <a16:creationId xmlns:a16="http://schemas.microsoft.com/office/drawing/2014/main" id="{00000000-0008-0000-0100-000016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6169025" y="2308860"/>
          <a:ext cx="229235" cy="228600"/>
        </a:xfrm>
        <a:prstGeom prst="rect">
          <a:avLst/>
        </a:prstGeom>
      </xdr:spPr>
    </xdr:pic>
    <xdr:clientData/>
  </xdr:twoCellAnchor>
  <xdr:twoCellAnchor editAs="oneCell">
    <xdr:from>
      <xdr:col>4</xdr:col>
      <xdr:colOff>496956</xdr:colOff>
      <xdr:row>4</xdr:row>
      <xdr:rowOff>57978</xdr:rowOff>
    </xdr:from>
    <xdr:to>
      <xdr:col>4</xdr:col>
      <xdr:colOff>725556</xdr:colOff>
      <xdr:row>4</xdr:row>
      <xdr:rowOff>286578</xdr:rowOff>
    </xdr:to>
    <xdr:pic>
      <xdr:nvPicPr>
        <xdr:cNvPr id="24" name="Graphic 23">
          <a:extLst>
            <a:ext uri="{FF2B5EF4-FFF2-40B4-BE49-F238E27FC236}">
              <a16:creationId xmlns:a16="http://schemas.microsoft.com/office/drawing/2014/main" id="{00000000-0008-0000-0100-000018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6011545" y="987425"/>
          <a:ext cx="228600" cy="228600"/>
        </a:xfrm>
        <a:prstGeom prst="rect">
          <a:avLst/>
        </a:prstGeom>
      </xdr:spPr>
    </xdr:pic>
    <xdr:clientData/>
  </xdr:twoCellAnchor>
  <xdr:twoCellAnchor editAs="oneCell">
    <xdr:from>
      <xdr:col>4</xdr:col>
      <xdr:colOff>530086</xdr:colOff>
      <xdr:row>15</xdr:row>
      <xdr:rowOff>41413</xdr:rowOff>
    </xdr:from>
    <xdr:to>
      <xdr:col>4</xdr:col>
      <xdr:colOff>743446</xdr:colOff>
      <xdr:row>15</xdr:row>
      <xdr:rowOff>270013</xdr:rowOff>
    </xdr:to>
    <xdr:pic>
      <xdr:nvPicPr>
        <xdr:cNvPr id="31" name="Graphic 30">
          <a:extLst>
            <a:ext uri="{FF2B5EF4-FFF2-40B4-BE49-F238E27FC236}">
              <a16:creationId xmlns:a16="http://schemas.microsoft.com/office/drawing/2014/main" id="{00000000-0008-0000-0100-00001F00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6044565" y="8171815"/>
          <a:ext cx="228600" cy="228600"/>
        </a:xfrm>
        <a:prstGeom prst="rect">
          <a:avLst/>
        </a:prstGeom>
      </xdr:spPr>
    </xdr:pic>
    <xdr:clientData/>
  </xdr:twoCellAnchor>
  <xdr:twoCellAnchor editAs="oneCell">
    <xdr:from>
      <xdr:col>4</xdr:col>
      <xdr:colOff>426140</xdr:colOff>
      <xdr:row>23</xdr:row>
      <xdr:rowOff>52180</xdr:rowOff>
    </xdr:from>
    <xdr:to>
      <xdr:col>4</xdr:col>
      <xdr:colOff>658965</xdr:colOff>
      <xdr:row>23</xdr:row>
      <xdr:rowOff>288400</xdr:rowOff>
    </xdr:to>
    <xdr:pic>
      <xdr:nvPicPr>
        <xdr:cNvPr id="35" name="Graphic 34">
          <a:extLst>
            <a:ext uri="{FF2B5EF4-FFF2-40B4-BE49-F238E27FC236}">
              <a16:creationId xmlns:a16="http://schemas.microsoft.com/office/drawing/2014/main" id="{00000000-0008-0000-0100-00002300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5941060" y="13108940"/>
          <a:ext cx="232410" cy="236220"/>
        </a:xfrm>
        <a:prstGeom prst="rect">
          <a:avLst/>
        </a:prstGeom>
      </xdr:spPr>
    </xdr:pic>
    <xdr:clientData/>
  </xdr:twoCellAnchor>
  <xdr:twoCellAnchor editAs="oneCell">
    <xdr:from>
      <xdr:col>8</xdr:col>
      <xdr:colOff>687456</xdr:colOff>
      <xdr:row>34</xdr:row>
      <xdr:rowOff>74543</xdr:rowOff>
    </xdr:from>
    <xdr:to>
      <xdr:col>9</xdr:col>
      <xdr:colOff>95415</xdr:colOff>
      <xdr:row>34</xdr:row>
      <xdr:rowOff>303143</xdr:rowOff>
    </xdr:to>
    <xdr:pic>
      <xdr:nvPicPr>
        <xdr:cNvPr id="37" name="Graphic 36">
          <a:extLst>
            <a:ext uri="{FF2B5EF4-FFF2-40B4-BE49-F238E27FC236}">
              <a16:creationId xmlns:a16="http://schemas.microsoft.com/office/drawing/2014/main" id="{00000000-0008-0000-0100-00002500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 uri="{96DAC541-7B7A-43D3-8B79-37D633B846F1}">
              <asvg:svgBlip xmlns:asvg="http://schemas.microsoft.com/office/drawing/2016/SVG/main" r:embed="rId21"/>
            </a:ext>
          </a:extLst>
        </a:blip>
        <a:stretch>
          <a:fillRect/>
        </a:stretch>
      </xdr:blipFill>
      <xdr:spPr>
        <a:xfrm>
          <a:off x="9516745" y="16628745"/>
          <a:ext cx="236855" cy="228600"/>
        </a:xfrm>
        <a:prstGeom prst="rect">
          <a:avLst/>
        </a:prstGeom>
      </xdr:spPr>
    </xdr:pic>
    <xdr:clientData/>
  </xdr:twoCellAnchor>
  <xdr:twoCellAnchor editAs="oneCell">
    <xdr:from>
      <xdr:col>1</xdr:col>
      <xdr:colOff>1618836</xdr:colOff>
      <xdr:row>34</xdr:row>
      <xdr:rowOff>63776</xdr:rowOff>
    </xdr:from>
    <xdr:to>
      <xdr:col>1</xdr:col>
      <xdr:colOff>1847436</xdr:colOff>
      <xdr:row>34</xdr:row>
      <xdr:rowOff>284756</xdr:rowOff>
    </xdr:to>
    <xdr:pic>
      <xdr:nvPicPr>
        <xdr:cNvPr id="39" name="Graphic 38">
          <a:extLst>
            <a:ext uri="{FF2B5EF4-FFF2-40B4-BE49-F238E27FC236}">
              <a16:creationId xmlns:a16="http://schemas.microsoft.com/office/drawing/2014/main" id="{00000000-0008-0000-0100-00002700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 uri="{96DAC541-7B7A-43D3-8B79-37D633B846F1}">
              <asvg:svgBlip xmlns:asvg="http://schemas.microsoft.com/office/drawing/2016/SVG/main" r:embed="rId23"/>
            </a:ext>
          </a:extLst>
        </a:blip>
        <a:stretch>
          <a:fillRect/>
        </a:stretch>
      </xdr:blipFill>
      <xdr:spPr>
        <a:xfrm>
          <a:off x="2513965" y="16617950"/>
          <a:ext cx="228600" cy="220980"/>
        </a:xfrm>
        <a:prstGeom prst="rect">
          <a:avLst/>
        </a:prstGeom>
      </xdr:spPr>
    </xdr:pic>
    <xdr:clientData/>
  </xdr:twoCellAnchor>
  <xdr:twoCellAnchor editAs="oneCell">
    <xdr:from>
      <xdr:col>4</xdr:col>
      <xdr:colOff>621195</xdr:colOff>
      <xdr:row>51</xdr:row>
      <xdr:rowOff>49696</xdr:rowOff>
    </xdr:from>
    <xdr:to>
      <xdr:col>5</xdr:col>
      <xdr:colOff>21535</xdr:colOff>
      <xdr:row>51</xdr:row>
      <xdr:rowOff>285916</xdr:rowOff>
    </xdr:to>
    <xdr:pic>
      <xdr:nvPicPr>
        <xdr:cNvPr id="41" name="Graphic 40">
          <a:extLst>
            <a:ext uri="{FF2B5EF4-FFF2-40B4-BE49-F238E27FC236}">
              <a16:creationId xmlns:a16="http://schemas.microsoft.com/office/drawing/2014/main" id="{00000000-0008-0000-0100-000029000000}"/>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 uri="{96DAC541-7B7A-43D3-8B79-37D633B846F1}">
              <asvg:svgBlip xmlns:asvg="http://schemas.microsoft.com/office/drawing/2016/SVG/main" r:embed="rId25"/>
            </a:ext>
          </a:extLst>
        </a:blip>
        <a:stretch>
          <a:fillRect/>
        </a:stretch>
      </xdr:blipFill>
      <xdr:spPr>
        <a:xfrm>
          <a:off x="6136005" y="23138130"/>
          <a:ext cx="228600" cy="236220"/>
        </a:xfrm>
        <a:prstGeom prst="rect">
          <a:avLst/>
        </a:prstGeom>
      </xdr:spPr>
    </xdr:pic>
    <xdr:clientData/>
  </xdr:twoCellAnchor>
  <xdr:twoCellAnchor editAs="oneCell">
    <xdr:from>
      <xdr:col>4</xdr:col>
      <xdr:colOff>414130</xdr:colOff>
      <xdr:row>44</xdr:row>
      <xdr:rowOff>41414</xdr:rowOff>
    </xdr:from>
    <xdr:to>
      <xdr:col>4</xdr:col>
      <xdr:colOff>638920</xdr:colOff>
      <xdr:row>44</xdr:row>
      <xdr:rowOff>270014</xdr:rowOff>
    </xdr:to>
    <xdr:pic>
      <xdr:nvPicPr>
        <xdr:cNvPr id="43" name="Graphic 42">
          <a:extLst>
            <a:ext uri="{FF2B5EF4-FFF2-40B4-BE49-F238E27FC236}">
              <a16:creationId xmlns:a16="http://schemas.microsoft.com/office/drawing/2014/main" id="{00000000-0008-0000-0100-00002B000000}"/>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 uri="{96DAC541-7B7A-43D3-8B79-37D633B846F1}">
              <asvg:svgBlip xmlns:asvg="http://schemas.microsoft.com/office/drawing/2016/SVG/main" r:embed="rId27"/>
            </a:ext>
          </a:extLst>
        </a:blip>
        <a:stretch>
          <a:fillRect/>
        </a:stretch>
      </xdr:blipFill>
      <xdr:spPr>
        <a:xfrm>
          <a:off x="5928995" y="20854670"/>
          <a:ext cx="224790" cy="228600"/>
        </a:xfrm>
        <a:prstGeom prst="rect">
          <a:avLst/>
        </a:prstGeom>
      </xdr:spPr>
    </xdr:pic>
    <xdr:clientData/>
  </xdr:twoCellAnchor>
  <xdr:twoCellAnchor editAs="oneCell">
    <xdr:from>
      <xdr:col>4</xdr:col>
      <xdr:colOff>745435</xdr:colOff>
      <xdr:row>57</xdr:row>
      <xdr:rowOff>33131</xdr:rowOff>
    </xdr:from>
    <xdr:to>
      <xdr:col>5</xdr:col>
      <xdr:colOff>141965</xdr:colOff>
      <xdr:row>57</xdr:row>
      <xdr:rowOff>257921</xdr:rowOff>
    </xdr:to>
    <xdr:pic>
      <xdr:nvPicPr>
        <xdr:cNvPr id="45" name="Graphic 44">
          <a:extLst>
            <a:ext uri="{FF2B5EF4-FFF2-40B4-BE49-F238E27FC236}">
              <a16:creationId xmlns:a16="http://schemas.microsoft.com/office/drawing/2014/main" id="{00000000-0008-0000-0100-00002D000000}"/>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 uri="{96DAC541-7B7A-43D3-8B79-37D633B846F1}">
              <asvg:svgBlip xmlns:asvg="http://schemas.microsoft.com/office/drawing/2016/SVG/main" r:embed="rId29"/>
            </a:ext>
          </a:extLst>
        </a:blip>
        <a:stretch>
          <a:fillRect/>
        </a:stretch>
      </xdr:blipFill>
      <xdr:spPr>
        <a:xfrm>
          <a:off x="6259830" y="25032970"/>
          <a:ext cx="225425" cy="2247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85725</xdr:colOff>
      <xdr:row>22</xdr:row>
      <xdr:rowOff>95250</xdr:rowOff>
    </xdr:from>
    <xdr:to>
      <xdr:col>3</xdr:col>
      <xdr:colOff>963549</xdr:colOff>
      <xdr:row>22</xdr:row>
      <xdr:rowOff>285750</xdr:rowOff>
    </xdr:to>
    <xdr:sp macro="" textlink="">
      <xdr:nvSpPr>
        <xdr:cNvPr id="2" name="Rectangle: Rounded Corners 1">
          <a:extLst>
            <a:ext uri="{FF2B5EF4-FFF2-40B4-BE49-F238E27FC236}">
              <a16:creationId xmlns:a16="http://schemas.microsoft.com/office/drawing/2014/main" id="{00000000-0008-0000-0200-000002000000}"/>
            </a:ext>
          </a:extLst>
        </xdr:cNvPr>
        <xdr:cNvSpPr/>
      </xdr:nvSpPr>
      <xdr:spPr>
        <a:xfrm>
          <a:off x="5791200" y="13704570"/>
          <a:ext cx="877570" cy="190500"/>
        </a:xfrm>
        <a:prstGeom prst="roundRect">
          <a:avLst/>
        </a:prstGeom>
        <a:solidFill>
          <a:srgbClr val="2C6FE4"/>
        </a:solidFill>
        <a:ln>
          <a:solidFill>
            <a:srgbClr val="2C6FE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DEV</a:t>
          </a:r>
        </a:p>
      </xdr:txBody>
    </xdr:sp>
    <xdr:clientData/>
  </xdr:twoCellAnchor>
  <xdr:twoCellAnchor>
    <xdr:from>
      <xdr:col>3</xdr:col>
      <xdr:colOff>95250</xdr:colOff>
      <xdr:row>23</xdr:row>
      <xdr:rowOff>104775</xdr:rowOff>
    </xdr:from>
    <xdr:to>
      <xdr:col>3</xdr:col>
      <xdr:colOff>973074</xdr:colOff>
      <xdr:row>23</xdr:row>
      <xdr:rowOff>295275</xdr:rowOff>
    </xdr:to>
    <xdr:sp macro="" textlink="">
      <xdr:nvSpPr>
        <xdr:cNvPr id="3" name="Rectangle: Rounded Corners 2">
          <a:extLst>
            <a:ext uri="{FF2B5EF4-FFF2-40B4-BE49-F238E27FC236}">
              <a16:creationId xmlns:a16="http://schemas.microsoft.com/office/drawing/2014/main" id="{00000000-0008-0000-0200-000003000000}"/>
            </a:ext>
          </a:extLst>
        </xdr:cNvPr>
        <xdr:cNvSpPr/>
      </xdr:nvSpPr>
      <xdr:spPr>
        <a:xfrm>
          <a:off x="5800725" y="14095095"/>
          <a:ext cx="877570" cy="190500"/>
        </a:xfrm>
        <a:prstGeom prst="roundRect">
          <a:avLst/>
        </a:prstGeom>
        <a:solidFill>
          <a:srgbClr val="2C6FE4"/>
        </a:solidFill>
        <a:ln>
          <a:solidFill>
            <a:srgbClr val="2C6FE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DEV</a:t>
          </a:r>
        </a:p>
      </xdr:txBody>
    </xdr:sp>
    <xdr:clientData/>
  </xdr:twoCellAnchor>
  <xdr:twoCellAnchor>
    <xdr:from>
      <xdr:col>3</xdr:col>
      <xdr:colOff>104775</xdr:colOff>
      <xdr:row>24</xdr:row>
      <xdr:rowOff>95250</xdr:rowOff>
    </xdr:from>
    <xdr:to>
      <xdr:col>3</xdr:col>
      <xdr:colOff>982599</xdr:colOff>
      <xdr:row>24</xdr:row>
      <xdr:rowOff>285750</xdr:rowOff>
    </xdr:to>
    <xdr:sp macro="" textlink="">
      <xdr:nvSpPr>
        <xdr:cNvPr id="4" name="Rectangle: Rounded Corners 3">
          <a:extLst>
            <a:ext uri="{FF2B5EF4-FFF2-40B4-BE49-F238E27FC236}">
              <a16:creationId xmlns:a16="http://schemas.microsoft.com/office/drawing/2014/main" id="{00000000-0008-0000-0200-000004000000}"/>
            </a:ext>
          </a:extLst>
        </xdr:cNvPr>
        <xdr:cNvSpPr/>
      </xdr:nvSpPr>
      <xdr:spPr>
        <a:xfrm>
          <a:off x="5810250" y="14466570"/>
          <a:ext cx="877570" cy="190500"/>
        </a:xfrm>
        <a:prstGeom prst="roundRect">
          <a:avLst/>
        </a:prstGeom>
        <a:solidFill>
          <a:srgbClr val="2C6FE4"/>
        </a:solidFill>
        <a:ln>
          <a:solidFill>
            <a:srgbClr val="2C6FE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DEV</a:t>
          </a:r>
        </a:p>
      </xdr:txBody>
    </xdr:sp>
    <xdr:clientData/>
  </xdr:twoCellAnchor>
  <xdr:twoCellAnchor>
    <xdr:from>
      <xdr:col>3</xdr:col>
      <xdr:colOff>1133475</xdr:colOff>
      <xdr:row>21</xdr:row>
      <xdr:rowOff>104775</xdr:rowOff>
    </xdr:from>
    <xdr:to>
      <xdr:col>3</xdr:col>
      <xdr:colOff>2011299</xdr:colOff>
      <xdr:row>21</xdr:row>
      <xdr:rowOff>295275</xdr:rowOff>
    </xdr:to>
    <xdr:sp macro="" textlink="">
      <xdr:nvSpPr>
        <xdr:cNvPr id="6" name="Rectangle: Rounded Corners 5">
          <a:extLst>
            <a:ext uri="{FF2B5EF4-FFF2-40B4-BE49-F238E27FC236}">
              <a16:creationId xmlns:a16="http://schemas.microsoft.com/office/drawing/2014/main" id="{00000000-0008-0000-0200-000006000000}"/>
            </a:ext>
          </a:extLst>
        </xdr:cNvPr>
        <xdr:cNvSpPr/>
      </xdr:nvSpPr>
      <xdr:spPr>
        <a:xfrm>
          <a:off x="6838950" y="13333095"/>
          <a:ext cx="877570" cy="190500"/>
        </a:xfrm>
        <a:prstGeom prst="roundRect">
          <a:avLst/>
        </a:prstGeom>
        <a:solidFill>
          <a:srgbClr val="019FB4"/>
        </a:solidFill>
        <a:ln>
          <a:solidFill>
            <a:srgbClr val="019FB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API</a:t>
          </a:r>
        </a:p>
      </xdr:txBody>
    </xdr:sp>
    <xdr:clientData/>
  </xdr:twoCellAnchor>
  <xdr:twoCellAnchor>
    <xdr:from>
      <xdr:col>3</xdr:col>
      <xdr:colOff>1133475</xdr:colOff>
      <xdr:row>22</xdr:row>
      <xdr:rowOff>95250</xdr:rowOff>
    </xdr:from>
    <xdr:to>
      <xdr:col>3</xdr:col>
      <xdr:colOff>2011299</xdr:colOff>
      <xdr:row>22</xdr:row>
      <xdr:rowOff>285750</xdr:rowOff>
    </xdr:to>
    <xdr:sp macro="" textlink="">
      <xdr:nvSpPr>
        <xdr:cNvPr id="7" name="Rectangle: Rounded Corners 6">
          <a:extLst>
            <a:ext uri="{FF2B5EF4-FFF2-40B4-BE49-F238E27FC236}">
              <a16:creationId xmlns:a16="http://schemas.microsoft.com/office/drawing/2014/main" id="{00000000-0008-0000-0200-000007000000}"/>
            </a:ext>
          </a:extLst>
        </xdr:cNvPr>
        <xdr:cNvSpPr/>
      </xdr:nvSpPr>
      <xdr:spPr>
        <a:xfrm>
          <a:off x="6838950" y="13704570"/>
          <a:ext cx="877570" cy="190500"/>
        </a:xfrm>
        <a:prstGeom prst="roundRect">
          <a:avLst/>
        </a:prstGeom>
        <a:solidFill>
          <a:srgbClr val="019FB4"/>
        </a:solidFill>
        <a:ln>
          <a:solidFill>
            <a:srgbClr val="019FB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API</a:t>
          </a:r>
        </a:p>
      </xdr:txBody>
    </xdr:sp>
    <xdr:clientData/>
  </xdr:twoCellAnchor>
  <xdr:twoCellAnchor>
    <xdr:from>
      <xdr:col>3</xdr:col>
      <xdr:colOff>1143000</xdr:colOff>
      <xdr:row>23</xdr:row>
      <xdr:rowOff>95250</xdr:rowOff>
    </xdr:from>
    <xdr:to>
      <xdr:col>3</xdr:col>
      <xdr:colOff>2020824</xdr:colOff>
      <xdr:row>23</xdr:row>
      <xdr:rowOff>285750</xdr:rowOff>
    </xdr:to>
    <xdr:sp macro="" textlink="">
      <xdr:nvSpPr>
        <xdr:cNvPr id="8" name="Rectangle: Rounded Corners 7">
          <a:extLst>
            <a:ext uri="{FF2B5EF4-FFF2-40B4-BE49-F238E27FC236}">
              <a16:creationId xmlns:a16="http://schemas.microsoft.com/office/drawing/2014/main" id="{00000000-0008-0000-0200-000008000000}"/>
            </a:ext>
          </a:extLst>
        </xdr:cNvPr>
        <xdr:cNvSpPr/>
      </xdr:nvSpPr>
      <xdr:spPr>
        <a:xfrm>
          <a:off x="6848475" y="14085570"/>
          <a:ext cx="877570" cy="190500"/>
        </a:xfrm>
        <a:prstGeom prst="roundRect">
          <a:avLst/>
        </a:prstGeom>
        <a:solidFill>
          <a:srgbClr val="019FB4"/>
        </a:solidFill>
        <a:ln>
          <a:solidFill>
            <a:srgbClr val="019FB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API</a:t>
          </a:r>
        </a:p>
      </xdr:txBody>
    </xdr:sp>
    <xdr:clientData/>
  </xdr:twoCellAnchor>
  <xdr:twoCellAnchor>
    <xdr:from>
      <xdr:col>3</xdr:col>
      <xdr:colOff>2228850</xdr:colOff>
      <xdr:row>20</xdr:row>
      <xdr:rowOff>76200</xdr:rowOff>
    </xdr:from>
    <xdr:to>
      <xdr:col>3</xdr:col>
      <xdr:colOff>3106674</xdr:colOff>
      <xdr:row>20</xdr:row>
      <xdr:rowOff>266700</xdr:rowOff>
    </xdr:to>
    <xdr:sp macro="" textlink="">
      <xdr:nvSpPr>
        <xdr:cNvPr id="9" name="Rectangle: Rounded Corners 8">
          <a:extLst>
            <a:ext uri="{FF2B5EF4-FFF2-40B4-BE49-F238E27FC236}">
              <a16:creationId xmlns:a16="http://schemas.microsoft.com/office/drawing/2014/main" id="{00000000-0008-0000-0200-000009000000}"/>
            </a:ext>
          </a:extLst>
        </xdr:cNvPr>
        <xdr:cNvSpPr/>
      </xdr:nvSpPr>
      <xdr:spPr>
        <a:xfrm>
          <a:off x="7934325" y="12923520"/>
          <a:ext cx="877570" cy="190500"/>
        </a:xfrm>
        <a:prstGeom prst="roundRect">
          <a:avLst/>
        </a:prstGeom>
        <a:solidFill>
          <a:srgbClr val="DC3E43"/>
        </a:solidFill>
        <a:ln>
          <a:solidFill>
            <a:srgbClr val="DC3E4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BUG</a:t>
          </a:r>
        </a:p>
      </xdr:txBody>
    </xdr:sp>
    <xdr:clientData/>
  </xdr:twoCellAnchor>
  <xdr:twoCellAnchor>
    <xdr:from>
      <xdr:col>3</xdr:col>
      <xdr:colOff>2219325</xdr:colOff>
      <xdr:row>21</xdr:row>
      <xdr:rowOff>104775</xdr:rowOff>
    </xdr:from>
    <xdr:to>
      <xdr:col>3</xdr:col>
      <xdr:colOff>3097149</xdr:colOff>
      <xdr:row>21</xdr:row>
      <xdr:rowOff>295275</xdr:rowOff>
    </xdr:to>
    <xdr:sp macro="" textlink="">
      <xdr:nvSpPr>
        <xdr:cNvPr id="10" name="Rectangle: Rounded Corners 9">
          <a:extLst>
            <a:ext uri="{FF2B5EF4-FFF2-40B4-BE49-F238E27FC236}">
              <a16:creationId xmlns:a16="http://schemas.microsoft.com/office/drawing/2014/main" id="{00000000-0008-0000-0200-00000A000000}"/>
            </a:ext>
          </a:extLst>
        </xdr:cNvPr>
        <xdr:cNvSpPr/>
      </xdr:nvSpPr>
      <xdr:spPr>
        <a:xfrm>
          <a:off x="7924800" y="13333095"/>
          <a:ext cx="877570" cy="190500"/>
        </a:xfrm>
        <a:prstGeom prst="roundRect">
          <a:avLst/>
        </a:prstGeom>
        <a:solidFill>
          <a:srgbClr val="DC3E43"/>
        </a:solidFill>
        <a:ln>
          <a:solidFill>
            <a:srgbClr val="DC3E4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BUG</a:t>
          </a:r>
        </a:p>
      </xdr:txBody>
    </xdr:sp>
    <xdr:clientData/>
  </xdr:twoCellAnchor>
  <xdr:twoCellAnchor>
    <xdr:from>
      <xdr:col>3</xdr:col>
      <xdr:colOff>2219325</xdr:colOff>
      <xdr:row>22</xdr:row>
      <xdr:rowOff>104775</xdr:rowOff>
    </xdr:from>
    <xdr:to>
      <xdr:col>3</xdr:col>
      <xdr:colOff>3097149</xdr:colOff>
      <xdr:row>22</xdr:row>
      <xdr:rowOff>295275</xdr:rowOff>
    </xdr:to>
    <xdr:sp macro="" textlink="">
      <xdr:nvSpPr>
        <xdr:cNvPr id="11" name="Rectangle: Rounded Corners 10">
          <a:extLst>
            <a:ext uri="{FF2B5EF4-FFF2-40B4-BE49-F238E27FC236}">
              <a16:creationId xmlns:a16="http://schemas.microsoft.com/office/drawing/2014/main" id="{00000000-0008-0000-0200-00000B000000}"/>
            </a:ext>
          </a:extLst>
        </xdr:cNvPr>
        <xdr:cNvSpPr/>
      </xdr:nvSpPr>
      <xdr:spPr>
        <a:xfrm>
          <a:off x="7924800" y="13714095"/>
          <a:ext cx="877570" cy="190500"/>
        </a:xfrm>
        <a:prstGeom prst="roundRect">
          <a:avLst/>
        </a:prstGeom>
        <a:solidFill>
          <a:srgbClr val="DC3E43"/>
        </a:solidFill>
        <a:ln>
          <a:solidFill>
            <a:srgbClr val="DC3E4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BUG</a:t>
          </a:r>
        </a:p>
      </xdr:txBody>
    </xdr:sp>
    <xdr:clientData/>
  </xdr:twoCellAnchor>
  <xdr:twoCellAnchor>
    <xdr:from>
      <xdr:col>3</xdr:col>
      <xdr:colOff>2245995</xdr:colOff>
      <xdr:row>23</xdr:row>
      <xdr:rowOff>87630</xdr:rowOff>
    </xdr:from>
    <xdr:to>
      <xdr:col>3</xdr:col>
      <xdr:colOff>3123819</xdr:colOff>
      <xdr:row>23</xdr:row>
      <xdr:rowOff>278130</xdr:rowOff>
    </xdr:to>
    <xdr:sp macro="" textlink="">
      <xdr:nvSpPr>
        <xdr:cNvPr id="12" name="Rectangle: Rounded Corners 11">
          <a:extLst>
            <a:ext uri="{FF2B5EF4-FFF2-40B4-BE49-F238E27FC236}">
              <a16:creationId xmlns:a16="http://schemas.microsoft.com/office/drawing/2014/main" id="{00000000-0008-0000-0200-00000C000000}"/>
            </a:ext>
          </a:extLst>
        </xdr:cNvPr>
        <xdr:cNvSpPr/>
      </xdr:nvSpPr>
      <xdr:spPr>
        <a:xfrm>
          <a:off x="7951470" y="14077950"/>
          <a:ext cx="877570" cy="190500"/>
        </a:xfrm>
        <a:prstGeom prst="roundRect">
          <a:avLst/>
        </a:prstGeom>
        <a:solidFill>
          <a:srgbClr val="DC3E43"/>
        </a:solidFill>
        <a:ln>
          <a:solidFill>
            <a:srgbClr val="DC3E4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BUG</a:t>
          </a:r>
        </a:p>
      </xdr:txBody>
    </xdr:sp>
    <xdr:clientData/>
  </xdr:twoCellAnchor>
  <xdr:twoCellAnchor>
    <xdr:from>
      <xdr:col>3</xdr:col>
      <xdr:colOff>3171825</xdr:colOff>
      <xdr:row>20</xdr:row>
      <xdr:rowOff>76200</xdr:rowOff>
    </xdr:from>
    <xdr:to>
      <xdr:col>3</xdr:col>
      <xdr:colOff>4049649</xdr:colOff>
      <xdr:row>20</xdr:row>
      <xdr:rowOff>266700</xdr:rowOff>
    </xdr:to>
    <xdr:sp macro="" textlink="">
      <xdr:nvSpPr>
        <xdr:cNvPr id="14" name="Rectangle: Rounded Corners 13">
          <a:extLst>
            <a:ext uri="{FF2B5EF4-FFF2-40B4-BE49-F238E27FC236}">
              <a16:creationId xmlns:a16="http://schemas.microsoft.com/office/drawing/2014/main" id="{00000000-0008-0000-0200-00000E000000}"/>
            </a:ext>
          </a:extLst>
        </xdr:cNvPr>
        <xdr:cNvSpPr/>
      </xdr:nvSpPr>
      <xdr:spPr>
        <a:xfrm>
          <a:off x="8877300" y="12923520"/>
          <a:ext cx="877570" cy="190500"/>
        </a:xfrm>
        <a:prstGeom prst="roundRect">
          <a:avLst/>
        </a:prstGeom>
        <a:solidFill>
          <a:srgbClr val="F48F02"/>
        </a:solidFill>
        <a:ln>
          <a:solidFill>
            <a:srgbClr val="F48F0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SUPPORT</a:t>
          </a:r>
        </a:p>
      </xdr:txBody>
    </xdr:sp>
    <xdr:clientData/>
  </xdr:twoCellAnchor>
  <xdr:twoCellAnchor>
    <xdr:from>
      <xdr:col>3</xdr:col>
      <xdr:colOff>3171825</xdr:colOff>
      <xdr:row>21</xdr:row>
      <xdr:rowOff>95250</xdr:rowOff>
    </xdr:from>
    <xdr:to>
      <xdr:col>3</xdr:col>
      <xdr:colOff>4049649</xdr:colOff>
      <xdr:row>21</xdr:row>
      <xdr:rowOff>285750</xdr:rowOff>
    </xdr:to>
    <xdr:sp macro="" textlink="">
      <xdr:nvSpPr>
        <xdr:cNvPr id="15" name="Rectangle: Rounded Corners 14">
          <a:extLst>
            <a:ext uri="{FF2B5EF4-FFF2-40B4-BE49-F238E27FC236}">
              <a16:creationId xmlns:a16="http://schemas.microsoft.com/office/drawing/2014/main" id="{00000000-0008-0000-0200-00000F000000}"/>
            </a:ext>
          </a:extLst>
        </xdr:cNvPr>
        <xdr:cNvSpPr/>
      </xdr:nvSpPr>
      <xdr:spPr>
        <a:xfrm>
          <a:off x="8877300" y="13323570"/>
          <a:ext cx="877570" cy="190500"/>
        </a:xfrm>
        <a:prstGeom prst="roundRect">
          <a:avLst/>
        </a:prstGeom>
        <a:solidFill>
          <a:srgbClr val="F48F02"/>
        </a:solidFill>
        <a:ln>
          <a:solidFill>
            <a:srgbClr val="F48F0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SUPPORT</a:t>
          </a:r>
        </a:p>
      </xdr:txBody>
    </xdr:sp>
    <xdr:clientData/>
  </xdr:twoCellAnchor>
  <xdr:twoCellAnchor>
    <xdr:from>
      <xdr:col>3</xdr:col>
      <xdr:colOff>3171825</xdr:colOff>
      <xdr:row>22</xdr:row>
      <xdr:rowOff>95250</xdr:rowOff>
    </xdr:from>
    <xdr:to>
      <xdr:col>3</xdr:col>
      <xdr:colOff>4049649</xdr:colOff>
      <xdr:row>22</xdr:row>
      <xdr:rowOff>285750</xdr:rowOff>
    </xdr:to>
    <xdr:sp macro="" textlink="">
      <xdr:nvSpPr>
        <xdr:cNvPr id="16" name="Rectangle: Rounded Corners 15">
          <a:extLst>
            <a:ext uri="{FF2B5EF4-FFF2-40B4-BE49-F238E27FC236}">
              <a16:creationId xmlns:a16="http://schemas.microsoft.com/office/drawing/2014/main" id="{00000000-0008-0000-0200-000010000000}"/>
            </a:ext>
          </a:extLst>
        </xdr:cNvPr>
        <xdr:cNvSpPr/>
      </xdr:nvSpPr>
      <xdr:spPr>
        <a:xfrm>
          <a:off x="8877300" y="13704570"/>
          <a:ext cx="877570" cy="190500"/>
        </a:xfrm>
        <a:prstGeom prst="roundRect">
          <a:avLst/>
        </a:prstGeom>
        <a:solidFill>
          <a:srgbClr val="F48F02"/>
        </a:solidFill>
        <a:ln>
          <a:solidFill>
            <a:srgbClr val="F48F0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SUPPORT</a:t>
          </a:r>
        </a:p>
      </xdr:txBody>
    </xdr:sp>
    <xdr:clientData/>
  </xdr:twoCellAnchor>
  <xdr:twoCellAnchor>
    <xdr:from>
      <xdr:col>3</xdr:col>
      <xdr:colOff>4105275</xdr:colOff>
      <xdr:row>20</xdr:row>
      <xdr:rowOff>85725</xdr:rowOff>
    </xdr:from>
    <xdr:to>
      <xdr:col>3</xdr:col>
      <xdr:colOff>4981575</xdr:colOff>
      <xdr:row>20</xdr:row>
      <xdr:rowOff>276225</xdr:rowOff>
    </xdr:to>
    <xdr:sp macro="" textlink="">
      <xdr:nvSpPr>
        <xdr:cNvPr id="17" name="Rectangle: Rounded Corners 16">
          <a:extLst>
            <a:ext uri="{FF2B5EF4-FFF2-40B4-BE49-F238E27FC236}">
              <a16:creationId xmlns:a16="http://schemas.microsoft.com/office/drawing/2014/main" id="{00000000-0008-0000-0200-000011000000}"/>
            </a:ext>
          </a:extLst>
        </xdr:cNvPr>
        <xdr:cNvSpPr/>
      </xdr:nvSpPr>
      <xdr:spPr>
        <a:xfrm>
          <a:off x="9810750" y="12933045"/>
          <a:ext cx="876300" cy="190500"/>
        </a:xfrm>
        <a:prstGeom prst="roundRect">
          <a:avLst/>
        </a:prstGeom>
        <a:solidFill>
          <a:srgbClr val="767B83"/>
        </a:solidFill>
        <a:ln>
          <a:solidFill>
            <a:srgbClr val="767B8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DOC</a:t>
          </a:r>
        </a:p>
      </xdr:txBody>
    </xdr:sp>
    <xdr:clientData/>
  </xdr:twoCellAnchor>
  <xdr:twoCellAnchor>
    <xdr:from>
      <xdr:col>3</xdr:col>
      <xdr:colOff>4133850</xdr:colOff>
      <xdr:row>21</xdr:row>
      <xdr:rowOff>85725</xdr:rowOff>
    </xdr:from>
    <xdr:to>
      <xdr:col>3</xdr:col>
      <xdr:colOff>5010150</xdr:colOff>
      <xdr:row>21</xdr:row>
      <xdr:rowOff>276225</xdr:rowOff>
    </xdr:to>
    <xdr:sp macro="" textlink="">
      <xdr:nvSpPr>
        <xdr:cNvPr id="18" name="Rectangle: Rounded Corners 17">
          <a:extLst>
            <a:ext uri="{FF2B5EF4-FFF2-40B4-BE49-F238E27FC236}">
              <a16:creationId xmlns:a16="http://schemas.microsoft.com/office/drawing/2014/main" id="{00000000-0008-0000-0200-000012000000}"/>
            </a:ext>
          </a:extLst>
        </xdr:cNvPr>
        <xdr:cNvSpPr/>
      </xdr:nvSpPr>
      <xdr:spPr>
        <a:xfrm>
          <a:off x="9839325" y="13314045"/>
          <a:ext cx="876300" cy="190500"/>
        </a:xfrm>
        <a:prstGeom prst="roundRect">
          <a:avLst/>
        </a:prstGeom>
        <a:solidFill>
          <a:srgbClr val="767B83"/>
        </a:solidFill>
        <a:ln>
          <a:solidFill>
            <a:srgbClr val="767B8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DOC</a:t>
          </a:r>
        </a:p>
      </xdr:txBody>
    </xdr:sp>
    <xdr:clientData/>
  </xdr:twoCellAnchor>
  <xdr:twoCellAnchor>
    <xdr:from>
      <xdr:col>3</xdr:col>
      <xdr:colOff>5038725</xdr:colOff>
      <xdr:row>20</xdr:row>
      <xdr:rowOff>76200</xdr:rowOff>
    </xdr:from>
    <xdr:to>
      <xdr:col>3</xdr:col>
      <xdr:colOff>5915025</xdr:colOff>
      <xdr:row>20</xdr:row>
      <xdr:rowOff>266700</xdr:rowOff>
    </xdr:to>
    <xdr:sp macro="" textlink="">
      <xdr:nvSpPr>
        <xdr:cNvPr id="19" name="Rectangle: Rounded Corners 18">
          <a:extLst>
            <a:ext uri="{FF2B5EF4-FFF2-40B4-BE49-F238E27FC236}">
              <a16:creationId xmlns:a16="http://schemas.microsoft.com/office/drawing/2014/main" id="{00000000-0008-0000-0200-000013000000}"/>
            </a:ext>
          </a:extLst>
        </xdr:cNvPr>
        <xdr:cNvSpPr/>
      </xdr:nvSpPr>
      <xdr:spPr>
        <a:xfrm>
          <a:off x="10744200" y="12923520"/>
          <a:ext cx="876300" cy="190500"/>
        </a:xfrm>
        <a:prstGeom prst="roundRect">
          <a:avLst/>
        </a:prstGeom>
        <a:solidFill>
          <a:srgbClr val="57AA5F"/>
        </a:solidFill>
        <a:ln>
          <a:solidFill>
            <a:srgbClr val="57AA5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REVIEW</a:t>
          </a:r>
        </a:p>
      </xdr:txBody>
    </xdr:sp>
    <xdr:clientData/>
  </xdr:twoCellAnchor>
  <xdr:twoCellAnchor>
    <xdr:from>
      <xdr:col>3</xdr:col>
      <xdr:colOff>5057775</xdr:colOff>
      <xdr:row>21</xdr:row>
      <xdr:rowOff>66675</xdr:rowOff>
    </xdr:from>
    <xdr:to>
      <xdr:col>3</xdr:col>
      <xdr:colOff>5934075</xdr:colOff>
      <xdr:row>21</xdr:row>
      <xdr:rowOff>257175</xdr:rowOff>
    </xdr:to>
    <xdr:sp macro="" textlink="">
      <xdr:nvSpPr>
        <xdr:cNvPr id="20" name="Rectangle: Rounded Corners 19">
          <a:extLst>
            <a:ext uri="{FF2B5EF4-FFF2-40B4-BE49-F238E27FC236}">
              <a16:creationId xmlns:a16="http://schemas.microsoft.com/office/drawing/2014/main" id="{00000000-0008-0000-0200-000014000000}"/>
            </a:ext>
          </a:extLst>
        </xdr:cNvPr>
        <xdr:cNvSpPr/>
      </xdr:nvSpPr>
      <xdr:spPr>
        <a:xfrm>
          <a:off x="10763250" y="13294995"/>
          <a:ext cx="876300" cy="190500"/>
        </a:xfrm>
        <a:prstGeom prst="roundRect">
          <a:avLst/>
        </a:prstGeom>
        <a:solidFill>
          <a:srgbClr val="913BD2"/>
        </a:solidFill>
        <a:ln>
          <a:solidFill>
            <a:srgbClr val="913BD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MAINT</a:t>
          </a:r>
        </a:p>
      </xdr:txBody>
    </xdr:sp>
    <xdr:clientData/>
  </xdr:twoCellAnchor>
  <xdr:twoCellAnchor>
    <xdr:from>
      <xdr:col>3</xdr:col>
      <xdr:colOff>5057775</xdr:colOff>
      <xdr:row>22</xdr:row>
      <xdr:rowOff>76200</xdr:rowOff>
    </xdr:from>
    <xdr:to>
      <xdr:col>3</xdr:col>
      <xdr:colOff>5934075</xdr:colOff>
      <xdr:row>22</xdr:row>
      <xdr:rowOff>266700</xdr:rowOff>
    </xdr:to>
    <xdr:sp macro="" textlink="">
      <xdr:nvSpPr>
        <xdr:cNvPr id="21" name="Rectangle: Rounded Corners 20">
          <a:extLst>
            <a:ext uri="{FF2B5EF4-FFF2-40B4-BE49-F238E27FC236}">
              <a16:creationId xmlns:a16="http://schemas.microsoft.com/office/drawing/2014/main" id="{00000000-0008-0000-0200-000015000000}"/>
            </a:ext>
          </a:extLst>
        </xdr:cNvPr>
        <xdr:cNvSpPr/>
      </xdr:nvSpPr>
      <xdr:spPr>
        <a:xfrm>
          <a:off x="10763250" y="13685520"/>
          <a:ext cx="876300" cy="190500"/>
        </a:xfrm>
        <a:prstGeom prst="roundRect">
          <a:avLst/>
        </a:prstGeom>
        <a:solidFill>
          <a:srgbClr val="913BD2"/>
        </a:solidFill>
        <a:ln>
          <a:solidFill>
            <a:srgbClr val="913BD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MAINT</a:t>
          </a:r>
        </a:p>
      </xdr:txBody>
    </xdr:sp>
    <xdr:clientData/>
  </xdr:twoCellAnchor>
  <xdr:twoCellAnchor>
    <xdr:from>
      <xdr:col>3</xdr:col>
      <xdr:colOff>4143375</xdr:colOff>
      <xdr:row>23</xdr:row>
      <xdr:rowOff>85725</xdr:rowOff>
    </xdr:from>
    <xdr:to>
      <xdr:col>3</xdr:col>
      <xdr:colOff>5019675</xdr:colOff>
      <xdr:row>23</xdr:row>
      <xdr:rowOff>276225</xdr:rowOff>
    </xdr:to>
    <xdr:sp macro="" textlink="">
      <xdr:nvSpPr>
        <xdr:cNvPr id="22" name="Rectangle: Rounded Corners 21">
          <a:extLst>
            <a:ext uri="{FF2B5EF4-FFF2-40B4-BE49-F238E27FC236}">
              <a16:creationId xmlns:a16="http://schemas.microsoft.com/office/drawing/2014/main" id="{00000000-0008-0000-0200-000016000000}"/>
            </a:ext>
          </a:extLst>
        </xdr:cNvPr>
        <xdr:cNvSpPr/>
      </xdr:nvSpPr>
      <xdr:spPr>
        <a:xfrm>
          <a:off x="9848850" y="14076045"/>
          <a:ext cx="876300" cy="190500"/>
        </a:xfrm>
        <a:prstGeom prst="roundRect">
          <a:avLst/>
        </a:prstGeom>
        <a:solidFill>
          <a:srgbClr val="5754CA"/>
        </a:solidFill>
        <a:ln>
          <a:solidFill>
            <a:srgbClr val="5754C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RND</a:t>
          </a:r>
        </a:p>
      </xdr:txBody>
    </xdr:sp>
    <xdr:clientData/>
  </xdr:twoCellAnchor>
  <xdr:twoCellAnchor>
    <xdr:from>
      <xdr:col>3</xdr:col>
      <xdr:colOff>4124325</xdr:colOff>
      <xdr:row>24</xdr:row>
      <xdr:rowOff>85725</xdr:rowOff>
    </xdr:from>
    <xdr:to>
      <xdr:col>3</xdr:col>
      <xdr:colOff>5000625</xdr:colOff>
      <xdr:row>24</xdr:row>
      <xdr:rowOff>276225</xdr:rowOff>
    </xdr:to>
    <xdr:sp macro="" textlink="">
      <xdr:nvSpPr>
        <xdr:cNvPr id="23" name="Rectangle: Rounded Corners 22">
          <a:extLst>
            <a:ext uri="{FF2B5EF4-FFF2-40B4-BE49-F238E27FC236}">
              <a16:creationId xmlns:a16="http://schemas.microsoft.com/office/drawing/2014/main" id="{00000000-0008-0000-0200-000017000000}"/>
            </a:ext>
          </a:extLst>
        </xdr:cNvPr>
        <xdr:cNvSpPr/>
      </xdr:nvSpPr>
      <xdr:spPr>
        <a:xfrm>
          <a:off x="9829800" y="14457045"/>
          <a:ext cx="876300" cy="190500"/>
        </a:xfrm>
        <a:prstGeom prst="roundRect">
          <a:avLst/>
        </a:prstGeom>
        <a:solidFill>
          <a:srgbClr val="5754CA"/>
        </a:solidFill>
        <a:ln>
          <a:solidFill>
            <a:srgbClr val="5754C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RND</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363141</xdr:colOff>
      <xdr:row>13</xdr:row>
      <xdr:rowOff>122635</xdr:rowOff>
    </xdr:from>
    <xdr:to>
      <xdr:col>0</xdr:col>
      <xdr:colOff>525066</xdr:colOff>
      <xdr:row>13</xdr:row>
      <xdr:rowOff>284560</xdr:rowOff>
    </xdr:to>
    <xdr:sp macro="" textlink="">
      <xdr:nvSpPr>
        <xdr:cNvPr id="2" name="Flowchart: Connector 1">
          <a:extLst>
            <a:ext uri="{FF2B5EF4-FFF2-40B4-BE49-F238E27FC236}">
              <a16:creationId xmlns:a16="http://schemas.microsoft.com/office/drawing/2014/main" id="{00000000-0008-0000-0300-000002000000}"/>
            </a:ext>
          </a:extLst>
        </xdr:cNvPr>
        <xdr:cNvSpPr/>
      </xdr:nvSpPr>
      <xdr:spPr>
        <a:xfrm>
          <a:off x="362585" y="3729355"/>
          <a:ext cx="161925" cy="161925"/>
        </a:xfrm>
        <a:prstGeom prst="flowChartConnector">
          <a:avLst/>
        </a:prstGeom>
        <a:solidFill>
          <a:srgbClr val="077444"/>
        </a:solidFill>
        <a:ln>
          <a:solidFill>
            <a:srgbClr val="07744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359569</xdr:colOff>
      <xdr:row>14</xdr:row>
      <xdr:rowOff>97631</xdr:rowOff>
    </xdr:from>
    <xdr:to>
      <xdr:col>0</xdr:col>
      <xdr:colOff>521494</xdr:colOff>
      <xdr:row>14</xdr:row>
      <xdr:rowOff>259556</xdr:rowOff>
    </xdr:to>
    <xdr:sp macro="" textlink="">
      <xdr:nvSpPr>
        <xdr:cNvPr id="3" name="Flowchart: Connector 2">
          <a:extLst>
            <a:ext uri="{FF2B5EF4-FFF2-40B4-BE49-F238E27FC236}">
              <a16:creationId xmlns:a16="http://schemas.microsoft.com/office/drawing/2014/main" id="{00000000-0008-0000-0300-000003000000}"/>
            </a:ext>
          </a:extLst>
        </xdr:cNvPr>
        <xdr:cNvSpPr/>
      </xdr:nvSpPr>
      <xdr:spPr>
        <a:xfrm>
          <a:off x="359410" y="4084955"/>
          <a:ext cx="161925" cy="161925"/>
        </a:xfrm>
        <a:prstGeom prst="flowChartConnector">
          <a:avLst/>
        </a:prstGeom>
        <a:solidFill>
          <a:srgbClr val="0E9258"/>
        </a:solidFill>
        <a:ln>
          <a:solidFill>
            <a:srgbClr val="0E9258"/>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363141</xdr:colOff>
      <xdr:row>15</xdr:row>
      <xdr:rowOff>101203</xdr:rowOff>
    </xdr:from>
    <xdr:to>
      <xdr:col>0</xdr:col>
      <xdr:colOff>525066</xdr:colOff>
      <xdr:row>15</xdr:row>
      <xdr:rowOff>263128</xdr:rowOff>
    </xdr:to>
    <xdr:sp macro="" textlink="">
      <xdr:nvSpPr>
        <xdr:cNvPr id="4" name="Flowchart: Connector 3">
          <a:extLst>
            <a:ext uri="{FF2B5EF4-FFF2-40B4-BE49-F238E27FC236}">
              <a16:creationId xmlns:a16="http://schemas.microsoft.com/office/drawing/2014/main" id="{00000000-0008-0000-0300-000004000000}"/>
            </a:ext>
          </a:extLst>
        </xdr:cNvPr>
        <xdr:cNvSpPr/>
      </xdr:nvSpPr>
      <xdr:spPr>
        <a:xfrm>
          <a:off x="362585" y="4469765"/>
          <a:ext cx="161925" cy="161925"/>
        </a:xfrm>
        <a:prstGeom prst="flowChartConnector">
          <a:avLst/>
        </a:prstGeom>
        <a:solidFill>
          <a:srgbClr val="FDA80B"/>
        </a:solidFill>
        <a:ln>
          <a:solidFill>
            <a:srgbClr val="FDA80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359569</xdr:colOff>
      <xdr:row>16</xdr:row>
      <xdr:rowOff>104775</xdr:rowOff>
    </xdr:from>
    <xdr:to>
      <xdr:col>0</xdr:col>
      <xdr:colOff>521494</xdr:colOff>
      <xdr:row>16</xdr:row>
      <xdr:rowOff>266700</xdr:rowOff>
    </xdr:to>
    <xdr:sp macro="" textlink="">
      <xdr:nvSpPr>
        <xdr:cNvPr id="5" name="Flowchart: Connector 4">
          <a:extLst>
            <a:ext uri="{FF2B5EF4-FFF2-40B4-BE49-F238E27FC236}">
              <a16:creationId xmlns:a16="http://schemas.microsoft.com/office/drawing/2014/main" id="{00000000-0008-0000-0300-000005000000}"/>
            </a:ext>
          </a:extLst>
        </xdr:cNvPr>
        <xdr:cNvSpPr/>
      </xdr:nvSpPr>
      <xdr:spPr>
        <a:xfrm>
          <a:off x="359410" y="4854575"/>
          <a:ext cx="161925" cy="161925"/>
        </a:xfrm>
        <a:prstGeom prst="flowChartConnector">
          <a:avLst/>
        </a:prstGeom>
        <a:solidFill>
          <a:srgbClr val="E06B13"/>
        </a:solidFill>
        <a:ln>
          <a:solidFill>
            <a:srgbClr val="E06B1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361950</xdr:colOff>
      <xdr:row>17</xdr:row>
      <xdr:rowOff>111919</xdr:rowOff>
    </xdr:from>
    <xdr:to>
      <xdr:col>0</xdr:col>
      <xdr:colOff>523875</xdr:colOff>
      <xdr:row>17</xdr:row>
      <xdr:rowOff>273844</xdr:rowOff>
    </xdr:to>
    <xdr:sp macro="" textlink="">
      <xdr:nvSpPr>
        <xdr:cNvPr id="6" name="Flowchart: Connector 5">
          <a:extLst>
            <a:ext uri="{FF2B5EF4-FFF2-40B4-BE49-F238E27FC236}">
              <a16:creationId xmlns:a16="http://schemas.microsoft.com/office/drawing/2014/main" id="{00000000-0008-0000-0300-000006000000}"/>
            </a:ext>
          </a:extLst>
        </xdr:cNvPr>
        <xdr:cNvSpPr/>
      </xdr:nvSpPr>
      <xdr:spPr>
        <a:xfrm>
          <a:off x="361950" y="5242560"/>
          <a:ext cx="161925" cy="161925"/>
        </a:xfrm>
        <a:prstGeom prst="flowChartConnector">
          <a:avLst/>
        </a:prstGeom>
        <a:solidFill>
          <a:srgbClr val="E13B3F"/>
        </a:solidFill>
        <a:ln>
          <a:solidFill>
            <a:srgbClr val="E13B3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TranKPI" displayName="MaTranKPI" ref="A3:G11">
  <tableColumns count="7">
    <tableColumn id="1" xr3:uid="{00000000-0010-0000-0000-000001000000}" name="Mã loại" dataDxfId="6"/>
    <tableColumn id="2" xr3:uid="{00000000-0010-0000-0000-000002000000}" name="Loại công việc" dataDxfId="5"/>
    <tableColumn id="3" xr3:uid="{00000000-0010-0000-0000-000003000000}" name="Hiệu quả" dataDxfId="4"/>
    <tableColumn id="4" xr3:uid="{00000000-0010-0000-0000-000004000000}" name="Chất lượng" dataDxfId="3"/>
    <tableColumn id="5" xr3:uid="{00000000-0010-0000-0000-000005000000}" name="Hỗ trợ" dataDxfId="2"/>
    <tableColumn id="6" xr3:uid="{00000000-0010-0000-0000-000006000000}" name="Quy trình &amp; phát triển" dataDxfId="1"/>
    <tableColumn id="7" xr3:uid="{00000000-0010-0000-0000-000007000000}" name="Tổng" dataDxfId="0">
      <calculatedColumnFormula>SUM(C4:F4)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hyperlink" Target="https://wework.base.vn/tasks?task=11034326" TargetMode="External"/><Relationship Id="rId4" Type="http://schemas.openxmlformats.org/officeDocument/2006/relationships/comments" Target="../comments1.xml"/><Relationship Id="rId5" Type="http://schemas.openxmlformats.org/officeDocument/2006/relationships/hyperlink" Target="https://wework.base.vn/tasks?task=11004386"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33"/>
  <sheetViews>
    <sheetView tabSelected="1" topLeftCell="A5" zoomScale="70" zoomScaleNormal="70" workbookViewId="0">
      <selection activeCell="A15" sqref="A15"/>
    </sheetView>
  </sheetViews>
  <sheetFormatPr defaultColWidth="9" defaultRowHeight="14.4"/>
  <cols>
    <col min="1" max="1" width="11.109375" style="125" customWidth="1"/>
    <col min="2" max="2" width="11.6640625" style="125" customWidth="1"/>
    <col min="3" max="3" width="33.88671875" style="125" customWidth="1"/>
    <col min="4" max="4" width="44.109375" style="125" customWidth="1"/>
    <col min="5" max="5" width="47.77734375" style="125" customWidth="1"/>
    <col min="6" max="6" width="46.6640625" style="125" customWidth="1"/>
    <col min="7" max="7" width="13.88671875" style="125" customWidth="1"/>
    <col min="8" max="8" width="12.44140625" style="125" customWidth="1"/>
    <col min="9" max="9" width="11.77734375" style="126" customWidth="1"/>
    <col min="10" max="10" width="12.6640625" style="125" customWidth="1"/>
    <col min="11" max="11" width="11" style="125" customWidth="1"/>
    <col min="12" max="12" width="13.77734375" style="125" customWidth="1"/>
    <col min="13" max="13" width="11.88671875" style="125" customWidth="1"/>
    <col min="14" max="14" width="11.21875" style="125" customWidth="1"/>
    <col min="15" max="15" width="17.88671875" style="125" customWidth="1"/>
    <col min="16" max="16" width="13.21875" style="125" customWidth="1"/>
    <col min="17" max="17" width="13.44140625" style="125" customWidth="1"/>
    <col min="18" max="18" width="11.44140625" style="125" customWidth="1"/>
    <col min="19" max="19" width="13.77734375" style="125" customWidth="1"/>
    <col min="20" max="20" width="12.33203125" style="125" customWidth="1"/>
    <col min="21" max="21" width="9.6640625" style="125" customWidth="1"/>
    <col min="22" max="22" width="12.33203125" style="125" customWidth="1"/>
    <col min="23" max="23" width="12" style="125" customWidth="1"/>
    <col min="24" max="24" width="9.77734375" style="125" customWidth="1"/>
    <col min="25" max="25" width="9.6640625" style="125" customWidth="1"/>
    <col min="26" max="26" width="11.33203125" style="125" customWidth="1"/>
    <col min="27" max="27" width="9" style="125" customWidth="1"/>
    <col min="28" max="28" width="11.6640625" style="125" customWidth="1"/>
    <col min="29" max="29" width="7.88671875" style="125" customWidth="1"/>
    <col min="30" max="30" width="9.44140625" style="125" customWidth="1"/>
    <col min="31" max="31" width="11.88671875" style="125" customWidth="1"/>
    <col min="32" max="32" width="9" style="125" customWidth="1"/>
    <col min="33" max="33" width="12.21875" style="125" customWidth="1"/>
    <col min="34" max="34" width="14.77734375" style="125" customWidth="1"/>
    <col min="35" max="35" width="14" style="125" customWidth="1"/>
    <col min="36" max="36" width="11.6640625" style="125" customWidth="1"/>
    <col min="37" max="37" width="12.44140625" style="125" customWidth="1"/>
    <col min="38" max="38" width="11.77734375" style="125" customWidth="1"/>
    <col min="39" max="39" width="13.44140625" style="125" customWidth="1"/>
    <col min="40" max="40" width="10.77734375" style="125" customWidth="1"/>
    <col min="41" max="41" width="11.21875" style="125" customWidth="1"/>
    <col min="42" max="16384" width="9" style="125"/>
  </cols>
  <sheetData>
    <row r="1" spans="1:41">
      <c r="A1" s="163" t="s">
        <v>0</v>
      </c>
      <c r="B1" s="163"/>
      <c r="C1" s="163"/>
      <c r="D1" s="163"/>
      <c r="E1" s="163"/>
      <c r="F1" s="163"/>
      <c r="G1" s="163"/>
      <c r="H1" s="163"/>
      <c r="I1" s="163"/>
      <c r="J1" s="163"/>
      <c r="K1" s="163"/>
      <c r="L1" s="163"/>
      <c r="M1" s="163"/>
      <c r="N1" s="163"/>
      <c r="O1" s="163"/>
    </row>
    <row r="2" spans="1:41" ht="28.5" customHeight="1">
      <c r="A2" s="163"/>
      <c r="B2" s="163"/>
      <c r="C2" s="163"/>
      <c r="D2" s="163"/>
      <c r="E2" s="163"/>
      <c r="F2" s="163"/>
      <c r="G2" s="163"/>
      <c r="H2" s="163"/>
      <c r="I2" s="163"/>
      <c r="J2" s="163"/>
      <c r="K2" s="163"/>
      <c r="L2" s="163"/>
      <c r="M2" s="163"/>
      <c r="N2" s="163"/>
      <c r="O2" s="163"/>
    </row>
    <row r="3" spans="1:41" ht="5.25" customHeight="1">
      <c r="A3" s="199"/>
      <c r="B3" s="199"/>
      <c r="C3" s="199"/>
      <c r="D3" s="199"/>
      <c r="E3" s="199"/>
      <c r="F3" s="199"/>
      <c r="G3" s="199"/>
      <c r="H3" s="199"/>
      <c r="I3" s="199"/>
      <c r="J3" s="199"/>
      <c r="K3" s="199"/>
      <c r="L3" s="199"/>
      <c r="M3" s="199"/>
      <c r="N3" s="199"/>
      <c r="O3" s="199"/>
    </row>
    <row r="4" spans="1:41" s="119" customFormat="1" ht="20.100000000000001" customHeight="1">
      <c r="A4" s="200" t="s">
        <v>1</v>
      </c>
      <c r="B4" s="201"/>
      <c r="C4" s="201"/>
      <c r="D4" s="201"/>
      <c r="E4" s="201"/>
      <c r="F4" s="201"/>
      <c r="G4" s="201"/>
      <c r="H4" s="202" t="s">
        <v>329</v>
      </c>
      <c r="I4" s="202"/>
      <c r="J4" s="202"/>
      <c r="K4" s="202"/>
      <c r="L4" s="202"/>
      <c r="M4" s="202"/>
      <c r="N4" s="202"/>
      <c r="O4" s="203"/>
    </row>
    <row r="5" spans="1:41" s="119" customFormat="1" ht="20.100000000000001" customHeight="1">
      <c r="A5" s="200" t="s">
        <v>2</v>
      </c>
      <c r="B5" s="201"/>
      <c r="C5" s="201"/>
      <c r="D5" s="201"/>
      <c r="E5" s="201"/>
      <c r="F5" s="201"/>
      <c r="G5" s="201"/>
      <c r="H5" s="202" t="s">
        <v>336</v>
      </c>
      <c r="I5" s="202"/>
      <c r="J5" s="202"/>
      <c r="K5" s="202"/>
      <c r="L5" s="202"/>
      <c r="M5" s="202"/>
      <c r="N5" s="202"/>
      <c r="O5" s="203"/>
    </row>
    <row r="6" spans="1:41" s="119" customFormat="1" ht="16.8">
      <c r="I6" s="37"/>
    </row>
    <row r="7" spans="1:41" ht="33.9" customHeight="1">
      <c r="A7" s="180"/>
      <c r="B7" s="180"/>
      <c r="C7" s="180"/>
      <c r="D7" s="180"/>
      <c r="E7" s="180"/>
      <c r="F7" s="180"/>
      <c r="G7" s="180"/>
      <c r="H7" s="180"/>
      <c r="I7" s="180"/>
      <c r="J7" s="180"/>
      <c r="K7" s="180"/>
      <c r="L7" s="180"/>
      <c r="M7" s="180"/>
      <c r="N7" s="180"/>
      <c r="O7" s="180"/>
      <c r="P7" s="180"/>
      <c r="Q7" s="180"/>
      <c r="R7" s="180"/>
      <c r="S7" s="180"/>
      <c r="T7" s="180"/>
      <c r="U7" s="181"/>
      <c r="V7" s="181"/>
      <c r="W7" s="181"/>
      <c r="X7" s="181"/>
      <c r="Y7" s="181"/>
      <c r="Z7" s="181"/>
      <c r="AA7" s="181"/>
      <c r="AB7" s="181"/>
      <c r="AC7" s="181"/>
      <c r="AD7" s="181"/>
      <c r="AE7" s="181"/>
      <c r="AF7" s="181"/>
      <c r="AG7" s="181"/>
      <c r="AH7" s="181"/>
      <c r="AI7" s="181"/>
      <c r="AJ7" s="181"/>
      <c r="AK7" s="181"/>
      <c r="AL7" s="181"/>
      <c r="AM7" s="181"/>
      <c r="AN7" s="181"/>
      <c r="AO7" s="181"/>
    </row>
    <row r="8" spans="1:41" s="120" customFormat="1" ht="32.25" customHeight="1">
      <c r="A8" s="164" t="s">
        <v>4</v>
      </c>
      <c r="B8" s="165"/>
      <c r="C8" s="165"/>
      <c r="D8" s="165"/>
      <c r="E8" s="165"/>
      <c r="F8" s="165"/>
      <c r="G8" s="165"/>
      <c r="H8" s="165"/>
      <c r="I8" s="165"/>
      <c r="J8" s="165"/>
      <c r="K8" s="182" t="s">
        <v>5</v>
      </c>
      <c r="L8" s="183"/>
      <c r="M8" s="183"/>
      <c r="N8" s="183"/>
      <c r="O8" s="183"/>
      <c r="P8" s="183"/>
      <c r="Q8" s="183"/>
      <c r="R8" s="183"/>
      <c r="S8" s="183"/>
      <c r="T8" s="183"/>
      <c r="U8" s="183"/>
      <c r="V8" s="183"/>
      <c r="W8" s="184"/>
      <c r="X8" s="182" t="s">
        <v>6</v>
      </c>
      <c r="Y8" s="183"/>
      <c r="Z8" s="183"/>
      <c r="AA8" s="183"/>
      <c r="AB8" s="183"/>
      <c r="AC8" s="183"/>
      <c r="AD8" s="183"/>
      <c r="AE8" s="183"/>
      <c r="AF8" s="183"/>
      <c r="AG8" s="183"/>
      <c r="AH8" s="183"/>
      <c r="AI8" s="183"/>
      <c r="AJ8" s="183"/>
      <c r="AK8" s="183"/>
      <c r="AL8" s="183"/>
      <c r="AM8" s="183"/>
      <c r="AN8" s="183"/>
      <c r="AO8" s="183"/>
    </row>
    <row r="9" spans="1:41" s="121" customFormat="1" ht="47.25" customHeight="1">
      <c r="A9" s="166"/>
      <c r="B9" s="167"/>
      <c r="C9" s="167"/>
      <c r="D9" s="167"/>
      <c r="E9" s="167"/>
      <c r="F9" s="167"/>
      <c r="G9" s="167"/>
      <c r="H9" s="167"/>
      <c r="I9" s="167"/>
      <c r="J9" s="167"/>
      <c r="K9" s="185" t="s">
        <v>7</v>
      </c>
      <c r="L9" s="186"/>
      <c r="M9" s="187" t="s">
        <v>8</v>
      </c>
      <c r="N9" s="188"/>
      <c r="O9" s="188"/>
      <c r="P9" s="204" t="s">
        <v>9</v>
      </c>
      <c r="Q9" s="205"/>
      <c r="R9" s="205"/>
      <c r="S9" s="206" t="s">
        <v>10</v>
      </c>
      <c r="T9" s="207"/>
      <c r="U9" s="208"/>
      <c r="V9" s="208"/>
      <c r="W9" s="208"/>
      <c r="X9" s="193" t="s">
        <v>11</v>
      </c>
      <c r="Y9" s="194"/>
      <c r="Z9" s="194"/>
      <c r="AA9" s="194"/>
      <c r="AB9" s="193" t="s">
        <v>12</v>
      </c>
      <c r="AC9" s="194"/>
      <c r="AD9" s="194"/>
      <c r="AE9" s="194"/>
      <c r="AF9" s="195" t="s">
        <v>13</v>
      </c>
      <c r="AG9" s="197" t="s">
        <v>14</v>
      </c>
      <c r="AH9" s="193" t="s">
        <v>15</v>
      </c>
      <c r="AI9" s="194"/>
      <c r="AJ9" s="194"/>
      <c r="AK9" s="194"/>
      <c r="AL9" s="193" t="s">
        <v>16</v>
      </c>
      <c r="AM9" s="194"/>
      <c r="AN9" s="194"/>
      <c r="AO9" s="194"/>
    </row>
    <row r="10" spans="1:41" s="122" customFormat="1" ht="81" customHeight="1">
      <c r="A10" s="128" t="s">
        <v>17</v>
      </c>
      <c r="B10" s="128" t="s">
        <v>18</v>
      </c>
      <c r="C10" s="128" t="s">
        <v>19</v>
      </c>
      <c r="D10" s="128" t="s">
        <v>20</v>
      </c>
      <c r="E10" s="128" t="s">
        <v>21</v>
      </c>
      <c r="F10" s="128" t="s">
        <v>22</v>
      </c>
      <c r="G10" s="128" t="s">
        <v>23</v>
      </c>
      <c r="H10" s="128" t="s">
        <v>24</v>
      </c>
      <c r="I10" s="128" t="s">
        <v>25</v>
      </c>
      <c r="J10" s="129" t="s">
        <v>26</v>
      </c>
      <c r="K10" s="39" t="s">
        <v>27</v>
      </c>
      <c r="L10" s="39" t="s">
        <v>28</v>
      </c>
      <c r="M10" s="43" t="s">
        <v>29</v>
      </c>
      <c r="N10" s="43" t="s">
        <v>30</v>
      </c>
      <c r="O10" s="43" t="s">
        <v>31</v>
      </c>
      <c r="P10" s="46" t="s">
        <v>32</v>
      </c>
      <c r="Q10" s="46" t="s">
        <v>33</v>
      </c>
      <c r="R10" s="46" t="s">
        <v>34</v>
      </c>
      <c r="S10" s="49" t="s">
        <v>35</v>
      </c>
      <c r="T10" s="49" t="s">
        <v>36</v>
      </c>
      <c r="U10" s="130" t="s">
        <v>37</v>
      </c>
      <c r="V10" s="130" t="s">
        <v>38</v>
      </c>
      <c r="W10" s="130" t="s">
        <v>39</v>
      </c>
      <c r="X10" s="39" t="s">
        <v>40</v>
      </c>
      <c r="Y10" s="43" t="s">
        <v>41</v>
      </c>
      <c r="Z10" s="46" t="s">
        <v>42</v>
      </c>
      <c r="AA10" s="49" t="s">
        <v>43</v>
      </c>
      <c r="AB10" s="39" t="s">
        <v>44</v>
      </c>
      <c r="AC10" s="43" t="s">
        <v>45</v>
      </c>
      <c r="AD10" s="46" t="s">
        <v>46</v>
      </c>
      <c r="AE10" s="49" t="s">
        <v>47</v>
      </c>
      <c r="AF10" s="196"/>
      <c r="AG10" s="198"/>
      <c r="AH10" s="39" t="s">
        <v>48</v>
      </c>
      <c r="AI10" s="43" t="s">
        <v>49</v>
      </c>
      <c r="AJ10" s="46" t="s">
        <v>50</v>
      </c>
      <c r="AK10" s="49" t="s">
        <v>51</v>
      </c>
      <c r="AL10" s="39" t="s">
        <v>52</v>
      </c>
      <c r="AM10" s="43" t="s">
        <v>53</v>
      </c>
      <c r="AN10" s="46" t="s">
        <v>54</v>
      </c>
      <c r="AO10" s="49" t="s">
        <v>55</v>
      </c>
    </row>
    <row r="11" spans="1:41" s="123" customFormat="1" ht="15" customHeight="1">
      <c r="A11" s="131"/>
      <c r="B11" s="131"/>
      <c r="C11" s="131"/>
      <c r="D11" s="131"/>
      <c r="E11" s="131"/>
      <c r="F11" s="131"/>
      <c r="G11" s="131"/>
      <c r="H11" s="131"/>
      <c r="I11" s="131"/>
      <c r="J11" s="131"/>
      <c r="K11" s="132" t="s">
        <v>56</v>
      </c>
      <c r="L11" s="132" t="s">
        <v>57</v>
      </c>
      <c r="M11" s="132" t="s">
        <v>58</v>
      </c>
      <c r="N11" s="132" t="s">
        <v>58</v>
      </c>
      <c r="O11" s="132" t="s">
        <v>59</v>
      </c>
      <c r="P11" s="132" t="s">
        <v>60</v>
      </c>
      <c r="Q11" s="132" t="s">
        <v>59</v>
      </c>
      <c r="R11" s="132" t="s">
        <v>59</v>
      </c>
      <c r="S11" s="132" t="s">
        <v>61</v>
      </c>
      <c r="T11" s="132" t="s">
        <v>62</v>
      </c>
      <c r="U11" s="132" t="s">
        <v>63</v>
      </c>
      <c r="V11" s="132" t="s">
        <v>59</v>
      </c>
      <c r="W11" s="133" t="s">
        <v>59</v>
      </c>
      <c r="X11" s="134"/>
      <c r="Y11" s="134"/>
      <c r="Z11" s="134"/>
      <c r="AA11" s="134"/>
      <c r="AB11" s="134"/>
      <c r="AC11" s="134"/>
      <c r="AD11" s="134"/>
      <c r="AE11" s="134"/>
      <c r="AF11" s="134"/>
      <c r="AG11" s="134"/>
      <c r="AH11" s="134"/>
      <c r="AI11" s="134"/>
      <c r="AJ11" s="134"/>
      <c r="AK11" s="134"/>
      <c r="AL11" s="134"/>
      <c r="AM11" s="134"/>
      <c r="AN11" s="134"/>
      <c r="AO11" s="134"/>
    </row>
    <row r="12" spans="1:41" s="124" customFormat="1" ht="24.75" customHeight="1">
      <c r="A12" s="135" t="str">
        <f>"("&amp;COLUMNS($A:A)&amp;")"</f>
        <v>(1)</v>
      </c>
      <c r="B12" s="135" t="str">
        <f>"("&amp;COLUMNS($A:B)&amp;")"</f>
        <v>(2)</v>
      </c>
      <c r="C12" s="135" t="str">
        <f>"("&amp;COLUMNS($A:C)&amp;")"</f>
        <v>(3)</v>
      </c>
      <c r="D12" s="135" t="str">
        <f>"("&amp;COLUMNS($A:D)&amp;")"</f>
        <v>(4)</v>
      </c>
      <c r="E12" s="135" t="str">
        <f>"("&amp;COLUMNS($A:E)&amp;")"</f>
        <v>(5)</v>
      </c>
      <c r="F12" s="135" t="str">
        <f>"("&amp;COLUMNS($A:F)&amp;")"</f>
        <v>(6)</v>
      </c>
      <c r="G12" s="135" t="str">
        <f>"("&amp;COLUMNS($A:G)&amp;")"</f>
        <v>(7)</v>
      </c>
      <c r="H12" s="135" t="str">
        <f>"("&amp;COLUMNS($A:H)&amp;")"</f>
        <v>(8)</v>
      </c>
      <c r="I12" s="135" t="str">
        <f>"("&amp;COLUMNS($A:I)&amp;")"</f>
        <v>(9)</v>
      </c>
      <c r="J12" s="135" t="str">
        <f>"("&amp;COLUMNS($A:J)&amp;")"</f>
        <v>(10)</v>
      </c>
      <c r="K12" s="135" t="str">
        <f>"("&amp;COLUMNS($A:K)&amp;")"</f>
        <v>(11)</v>
      </c>
      <c r="L12" s="135" t="str">
        <f>"("&amp;COLUMNS($A:L)&amp;")"</f>
        <v>(12)</v>
      </c>
      <c r="M12" s="135" t="str">
        <f>"("&amp;COLUMNS($A:M)&amp;")"</f>
        <v>(13)</v>
      </c>
      <c r="N12" s="135" t="str">
        <f>"("&amp;COLUMNS($A:N)&amp;")"</f>
        <v>(14)</v>
      </c>
      <c r="O12" s="135" t="str">
        <f>"("&amp;COLUMNS($A:O)&amp;")"</f>
        <v>(15)</v>
      </c>
      <c r="P12" s="135" t="str">
        <f>"("&amp;COLUMNS($A:P)&amp;")"</f>
        <v>(16)</v>
      </c>
      <c r="Q12" s="135" t="str">
        <f>"("&amp;COLUMNS($A:Q)&amp;")"</f>
        <v>(17)</v>
      </c>
      <c r="R12" s="135" t="str">
        <f>"("&amp;COLUMNS($A:R)&amp;")"</f>
        <v>(18)</v>
      </c>
      <c r="S12" s="135" t="str">
        <f>"("&amp;COLUMNS($A:S)&amp;")"</f>
        <v>(19)</v>
      </c>
      <c r="T12" s="135" t="str">
        <f>"("&amp;COLUMNS($A:T)&amp;")"</f>
        <v>(20)</v>
      </c>
      <c r="U12" s="135" t="str">
        <f>"("&amp;COLUMNS($A:U)&amp;")"</f>
        <v>(21)</v>
      </c>
      <c r="V12" s="135" t="str">
        <f>"("&amp;COLUMNS($A:V)&amp;")"</f>
        <v>(22)</v>
      </c>
      <c r="W12" s="135" t="str">
        <f>"("&amp;COLUMNS($A:W)&amp;")"</f>
        <v>(23)</v>
      </c>
      <c r="X12" s="136" t="str">
        <f>"("&amp;COLUMNS($A:X)&amp;")"</f>
        <v>(24)</v>
      </c>
      <c r="Y12" s="136" t="str">
        <f>"("&amp;COLUMNS($A:Y)&amp;")"</f>
        <v>(25)</v>
      </c>
      <c r="Z12" s="136" t="str">
        <f>"("&amp;COLUMNS($A:Z)&amp;")"</f>
        <v>(26)</v>
      </c>
      <c r="AA12" s="136" t="str">
        <f>"("&amp;COLUMNS($A:AA)&amp;")"</f>
        <v>(27)</v>
      </c>
      <c r="AB12" s="136" t="str">
        <f>"("&amp;COLUMNS($A:AB)&amp;")"</f>
        <v>(28)</v>
      </c>
      <c r="AC12" s="136" t="str">
        <f>"("&amp;COLUMNS($A:AC)&amp;")"</f>
        <v>(29)</v>
      </c>
      <c r="AD12" s="136" t="str">
        <f>"("&amp;COLUMNS($A:AD)&amp;")"</f>
        <v>(30)</v>
      </c>
      <c r="AE12" s="136" t="str">
        <f>"("&amp;COLUMNS($A:AE)&amp;")"</f>
        <v>(31)</v>
      </c>
      <c r="AF12" s="136" t="str">
        <f>"("&amp;COLUMNS($A:AF)&amp;")"</f>
        <v>(32)</v>
      </c>
      <c r="AG12" s="136" t="str">
        <f>"("&amp;COLUMNS($A:AG)&amp;")"</f>
        <v>(33)</v>
      </c>
      <c r="AH12" s="136" t="str">
        <f>"("&amp;COLUMNS($A:AH)&amp;")"</f>
        <v>(34)</v>
      </c>
      <c r="AI12" s="136" t="str">
        <f>"("&amp;COLUMNS($A:AI)&amp;")"</f>
        <v>(35)</v>
      </c>
      <c r="AJ12" s="136" t="str">
        <f>"("&amp;COLUMNS($A:AJ)&amp;")"</f>
        <v>(36)</v>
      </c>
      <c r="AK12" s="136" t="str">
        <f>"("&amp;COLUMNS($A:AK)&amp;")"</f>
        <v>(37)</v>
      </c>
      <c r="AL12" s="136" t="str">
        <f>"("&amp;COLUMNS($A:AL)&amp;")"</f>
        <v>(38)</v>
      </c>
      <c r="AM12" s="136" t="str">
        <f>"("&amp;COLUMNS($A:AM)&amp;")"</f>
        <v>(39)</v>
      </c>
      <c r="AN12" s="136" t="str">
        <f>"("&amp;COLUMNS($A:AN)&amp;")"</f>
        <v>(40)</v>
      </c>
      <c r="AO12" s="136" t="str">
        <f>"("&amp;COLUMNS($A:AO)&amp;")"</f>
        <v>(41)</v>
      </c>
    </row>
    <row r="13" spans="1:41" s="122" customFormat="1" ht="115" customHeight="1">
      <c r="A13" s="137">
        <v>1</v>
      </c>
      <c r="B13" s="137" t="s">
        <v>64</v>
      </c>
      <c r="C13" s="160" t="s">
        <v>65</v>
      </c>
      <c r="D13" s="138" t="s">
        <v>330</v>
      </c>
      <c r="E13" s="157" t="s">
        <v>331</v>
      </c>
      <c r="F13" s="158" t="s">
        <v>332</v>
      </c>
      <c r="G13" s="161" t="s">
        <v>69</v>
      </c>
      <c r="H13" s="137">
        <v>10.5</v>
      </c>
      <c r="I13" s="137">
        <v>4</v>
      </c>
      <c r="J13" s="139">
        <v>1</v>
      </c>
      <c r="K13" s="139">
        <v>1</v>
      </c>
      <c r="L13" s="137">
        <v>1</v>
      </c>
      <c r="M13" s="137">
        <v>1</v>
      </c>
      <c r="N13" s="137">
        <v>0</v>
      </c>
      <c r="O13" s="139">
        <v>0.8</v>
      </c>
      <c r="P13" s="139">
        <v>0</v>
      </c>
      <c r="Q13" s="137">
        <v>0</v>
      </c>
      <c r="R13" s="137">
        <v>0</v>
      </c>
      <c r="S13" s="139">
        <v>1</v>
      </c>
      <c r="T13" s="139">
        <v>1</v>
      </c>
      <c r="U13" s="140">
        <v>0</v>
      </c>
      <c r="V13" s="141">
        <v>4</v>
      </c>
      <c r="W13" s="141">
        <v>4</v>
      </c>
      <c r="X13" s="142">
        <f t="shared" ref="X13:X19" si="0">IFERROR(MIN(100,(K13/J13)*100)*0.7+L13*100*0.3,0)</f>
        <v>100</v>
      </c>
      <c r="Y13" s="142">
        <f t="shared" ref="Y13:Y19" si="1">MAX(0,100-M13*15-N13*50)*0.8+IF(O13="",0,O13*100*0.2)</f>
        <v>84</v>
      </c>
      <c r="Z13" s="142">
        <f t="shared" ref="Z13:Z19" si="2">IF(P13="",0,P13*100*0.6)+IF(Q13="",0,IF(Q13&lt;=4,100,MAX(0,100-(Q13-4)*10))*0.2)+IF(R13="",0,R13*100*0.2)</f>
        <v>20</v>
      </c>
      <c r="AA13" s="142">
        <f t="shared" ref="AA13:AA19" si="3">IF(COUNTA(S13:W13)=0,0,IF(S13="",0,S13*100*25%)+IF(T13="",0,T13*100*25%)+IF(U13="",0,MIN(1,U13)*100*10%)+IF(V13="",0,MIN(5,V13)/5*100*20%)+IF(W13="",0,MIN(5,W13)/5*100*20%))</f>
        <v>90</v>
      </c>
      <c r="AB13" s="143">
        <f>IFERROR(VLOOKUP(G13,'Diễn giải 2'!$A$4:$F$11,3,FALSE),0)</f>
        <v>0.4</v>
      </c>
      <c r="AC13" s="143">
        <f>IFERROR(VLOOKUP(G13,'Diễn giải 2'!$A$4:$F$11,4,FALSE),0)</f>
        <v>0.5</v>
      </c>
      <c r="AD13" s="143">
        <f>IFERROR(VLOOKUP(G13,'Diễn giải 2'!$A$4:$F$11,5,FALSE),0)</f>
        <v>0</v>
      </c>
      <c r="AE13" s="143">
        <f>IFERROR(VLOOKUP(G13,'Diễn giải 2'!$A$4:$F$11,6,FALSE),0)</f>
        <v>0.1</v>
      </c>
      <c r="AF13" s="142">
        <f>(X13*AB13+Y13*AC13+Z13*AD13+AA13*AE13)</f>
        <v>91</v>
      </c>
      <c r="AG13" s="142">
        <f t="shared" ref="AG13:AG19" si="4">AF13*I13</f>
        <v>0</v>
      </c>
      <c r="AH13" s="142">
        <f t="shared" ref="AH13:AH19" si="5">X13*I13*AB13</f>
        <v>0</v>
      </c>
      <c r="AI13" s="142">
        <f t="shared" ref="AI13:AI19" si="6">Y13*I13*AC13</f>
        <v>0</v>
      </c>
      <c r="AJ13" s="142">
        <f t="shared" ref="AJ13:AJ19" si="7">Z13*I13*AD13</f>
        <v>0</v>
      </c>
      <c r="AK13" s="142">
        <f t="shared" ref="AK13:AK19" si="8">AA13*I13*AE13</f>
        <v>0</v>
      </c>
      <c r="AL13" s="144">
        <f t="shared" ref="AL13:AL19" si="9">I13*AB13</f>
        <v>0</v>
      </c>
      <c r="AM13" s="144">
        <f t="shared" ref="AM13:AM19" si="10">I13*AC13</f>
        <v>0</v>
      </c>
      <c r="AN13" s="144">
        <f t="shared" ref="AN13:AN19" si="11">I13*AD13</f>
        <v>0</v>
      </c>
      <c r="AO13" s="144">
        <f t="shared" ref="AO13:AO19" si="12">I13*AE13</f>
        <v>0</v>
      </c>
    </row>
    <row r="14" spans="1:41" s="122" customFormat="1" ht="125" customHeight="1">
      <c r="A14" s="137">
        <v>2</v>
      </c>
      <c r="B14" s="137" t="s">
        <v>64</v>
      </c>
      <c r="C14" s="160" t="s">
        <v>65</v>
      </c>
      <c r="D14" s="138" t="s">
        <v>333</v>
      </c>
      <c r="E14" s="157" t="s">
        <v>334</v>
      </c>
      <c r="F14" s="158" t="s">
        <v>335</v>
      </c>
      <c r="G14" s="161" t="s">
        <v>69</v>
      </c>
      <c r="H14" s="137">
        <v>10</v>
      </c>
      <c r="I14" s="137">
        <v>4</v>
      </c>
      <c r="J14" s="139">
        <v>1</v>
      </c>
      <c r="K14" s="139">
        <v>1</v>
      </c>
      <c r="L14" s="137">
        <v>1</v>
      </c>
      <c r="M14" s="137">
        <v>1</v>
      </c>
      <c r="N14" s="137">
        <v>0</v>
      </c>
      <c r="O14" s="139">
        <v>0.85</v>
      </c>
      <c r="P14" s="139">
        <v>0</v>
      </c>
      <c r="Q14" s="137">
        <v>0</v>
      </c>
      <c r="R14" s="137">
        <v>0</v>
      </c>
      <c r="S14" s="139">
        <v>1</v>
      </c>
      <c r="T14" s="139">
        <v>1</v>
      </c>
      <c r="U14" s="140">
        <v>0</v>
      </c>
      <c r="V14" s="141">
        <v>4</v>
      </c>
      <c r="W14" s="141">
        <v>4</v>
      </c>
      <c r="X14" s="142">
        <f t="shared" si="0"/>
        <v>0</v>
      </c>
      <c r="Y14" s="142">
        <f t="shared" si="1"/>
        <v>80</v>
      </c>
      <c r="Z14" s="142">
        <f t="shared" si="2"/>
        <v>0</v>
      </c>
      <c r="AA14" s="142">
        <f t="shared" si="3"/>
        <v>0</v>
      </c>
      <c r="AB14" s="143">
        <f>IFERROR(VLOOKUP(G14,'Diễn giải 2'!$A$4:$F$11,3,FALSE),0)</f>
        <v>0.4</v>
      </c>
      <c r="AC14" s="143">
        <f>IFERROR(VLOOKUP(G14,'Diễn giải 2'!$A$4:$F$11,4,FALSE),0)</f>
        <v>0.5</v>
      </c>
      <c r="AD14" s="143">
        <f>IFERROR(VLOOKUP(G14,'Diễn giải 2'!$A$4:$F$11,5,FALSE),0)</f>
        <v>0</v>
      </c>
      <c r="AE14" s="143">
        <f>IFERROR(VLOOKUP(G14,'Diễn giải 2'!$A$4:$F$11,6,FALSE),0)</f>
        <v>0.1</v>
      </c>
      <c r="AF14" s="142">
        <f t="shared" ref="AF14:AF16" si="13">(X14*AB14+Y14*AC14+Z14*AD14+AA14*AE14)</f>
        <v>40</v>
      </c>
      <c r="AG14" s="142">
        <f t="shared" si="4"/>
        <v>0</v>
      </c>
      <c r="AH14" s="142">
        <f t="shared" si="5"/>
        <v>0</v>
      </c>
      <c r="AI14" s="142">
        <f t="shared" si="6"/>
        <v>0</v>
      </c>
      <c r="AJ14" s="142">
        <f t="shared" si="7"/>
        <v>0</v>
      </c>
      <c r="AK14" s="142">
        <f t="shared" si="8"/>
        <v>0</v>
      </c>
      <c r="AL14" s="144">
        <f t="shared" si="9"/>
        <v>0</v>
      </c>
      <c r="AM14" s="144">
        <f t="shared" si="10"/>
        <v>0</v>
      </c>
      <c r="AN14" s="144">
        <f t="shared" si="11"/>
        <v>0</v>
      </c>
      <c r="AO14" s="144">
        <f t="shared" si="12"/>
        <v>0</v>
      </c>
    </row>
    <row r="15" spans="1:41" s="122" customFormat="1" ht="108.9" customHeight="1">
      <c r="A15" s="137"/>
      <c r="B15" s="320"/>
      <c r="C15" s="321"/>
      <c r="D15" s="322"/>
      <c r="E15" s="157"/>
      <c r="F15" s="158"/>
      <c r="G15" s="161" t="s">
        <v>70</v>
      </c>
      <c r="H15" s="137"/>
      <c r="I15" s="137"/>
      <c r="J15" s="139"/>
      <c r="K15" s="139"/>
      <c r="L15" s="137"/>
      <c r="M15" s="137"/>
      <c r="N15" s="137"/>
      <c r="O15" s="139"/>
      <c r="P15" s="139"/>
      <c r="Q15" s="137"/>
      <c r="R15" s="137"/>
      <c r="S15" s="139"/>
      <c r="T15" s="139"/>
      <c r="U15" s="140"/>
      <c r="V15" s="141"/>
      <c r="W15" s="141"/>
      <c r="X15" s="142">
        <f t="shared" si="0"/>
        <v>0</v>
      </c>
      <c r="Y15" s="142">
        <f t="shared" si="1"/>
        <v>80</v>
      </c>
      <c r="Z15" s="142">
        <f t="shared" si="2"/>
        <v>0</v>
      </c>
      <c r="AA15" s="142">
        <f t="shared" si="3"/>
        <v>0</v>
      </c>
      <c r="AB15" s="143">
        <f>IFERROR(VLOOKUP(G15,'Diễn giải 2'!$A$4:$F$11,3,FALSE),0)</f>
        <v>0.2</v>
      </c>
      <c r="AC15" s="143">
        <f>IFERROR(VLOOKUP(G15,'Diễn giải 2'!$A$4:$F$11,4,FALSE),0)</f>
        <v>0.2</v>
      </c>
      <c r="AD15" s="143">
        <f>IFERROR(VLOOKUP(G15,'Diễn giải 2'!$A$4:$F$11,5,FALSE),0)</f>
        <v>0</v>
      </c>
      <c r="AE15" s="143">
        <f>IFERROR(VLOOKUP(G15,'Diễn giải 2'!$A$4:$F$11,6,FALSE),0)</f>
        <v>0.6</v>
      </c>
      <c r="AF15" s="142">
        <f t="shared" si="13"/>
        <v>16</v>
      </c>
      <c r="AG15" s="142">
        <f t="shared" si="4"/>
        <v>0</v>
      </c>
      <c r="AH15" s="142">
        <f t="shared" si="5"/>
        <v>0</v>
      </c>
      <c r="AI15" s="142">
        <f t="shared" si="6"/>
        <v>0</v>
      </c>
      <c r="AJ15" s="142">
        <f t="shared" si="7"/>
        <v>0</v>
      </c>
      <c r="AK15" s="142">
        <f t="shared" si="8"/>
        <v>0</v>
      </c>
      <c r="AL15" s="144">
        <f t="shared" si="9"/>
        <v>0</v>
      </c>
      <c r="AM15" s="144">
        <f t="shared" si="10"/>
        <v>0</v>
      </c>
      <c r="AN15" s="144">
        <f t="shared" si="11"/>
        <v>0</v>
      </c>
      <c r="AO15" s="144">
        <f t="shared" si="12"/>
        <v>0</v>
      </c>
    </row>
    <row r="16" spans="1:41" s="122" customFormat="1" ht="108.9" customHeight="1" thickBot="1">
      <c r="A16" s="333"/>
      <c r="B16" s="334"/>
      <c r="C16" s="335"/>
      <c r="D16" s="336"/>
      <c r="E16" s="337"/>
      <c r="F16" s="338"/>
      <c r="G16" s="161" t="s">
        <v>69</v>
      </c>
      <c r="H16" s="137"/>
      <c r="I16" s="137"/>
      <c r="J16" s="139"/>
      <c r="K16" s="139"/>
      <c r="L16" s="137"/>
      <c r="M16" s="137"/>
      <c r="N16" s="137"/>
      <c r="O16" s="139"/>
      <c r="P16" s="139"/>
      <c r="Q16" s="137"/>
      <c r="R16" s="137"/>
      <c r="S16" s="139"/>
      <c r="T16" s="139"/>
      <c r="U16" s="140"/>
      <c r="V16" s="141"/>
      <c r="W16" s="141"/>
      <c r="X16" s="142">
        <f t="shared" si="0"/>
        <v>0</v>
      </c>
      <c r="Y16" s="142">
        <f t="shared" si="1"/>
        <v>80</v>
      </c>
      <c r="Z16" s="142">
        <f t="shared" si="2"/>
        <v>0</v>
      </c>
      <c r="AA16" s="142">
        <f t="shared" si="3"/>
        <v>0</v>
      </c>
      <c r="AB16" s="143">
        <f>IFERROR(VLOOKUP(G16,'Diễn giải 2'!$A$4:$F$11,3,FALSE),0)</f>
        <v>0.4</v>
      </c>
      <c r="AC16" s="143">
        <f>IFERROR(VLOOKUP(G16,'Diễn giải 2'!$A$4:$F$11,4,FALSE),0)</f>
        <v>0.5</v>
      </c>
      <c r="AD16" s="143">
        <f>IFERROR(VLOOKUP(G16,'Diễn giải 2'!$A$4:$F$11,5,FALSE),0)</f>
        <v>0</v>
      </c>
      <c r="AE16" s="143">
        <f>IFERROR(VLOOKUP(G16,'Diễn giải 2'!$A$4:$F$11,6,FALSE),0)</f>
        <v>0.1</v>
      </c>
      <c r="AF16" s="142">
        <f t="shared" si="13"/>
        <v>40</v>
      </c>
      <c r="AG16" s="142">
        <f t="shared" si="4"/>
        <v>0</v>
      </c>
      <c r="AH16" s="142">
        <f t="shared" si="5"/>
        <v>0</v>
      </c>
      <c r="AI16" s="142">
        <f t="shared" si="6"/>
        <v>0</v>
      </c>
      <c r="AJ16" s="142">
        <f t="shared" si="7"/>
        <v>0</v>
      </c>
      <c r="AK16" s="142">
        <f t="shared" si="8"/>
        <v>0</v>
      </c>
      <c r="AL16" s="144">
        <f t="shared" si="9"/>
        <v>0</v>
      </c>
      <c r="AM16" s="144">
        <f t="shared" si="10"/>
        <v>0</v>
      </c>
      <c r="AN16" s="144">
        <f t="shared" si="11"/>
        <v>0</v>
      </c>
      <c r="AO16" s="144">
        <f t="shared" si="12"/>
        <v>0</v>
      </c>
    </row>
    <row r="17" spans="1:41" s="122" customFormat="1" ht="108.9" hidden="1" customHeight="1">
      <c r="A17" s="323"/>
      <c r="B17" s="323"/>
      <c r="C17" s="319"/>
      <c r="D17" s="324"/>
      <c r="E17" s="332"/>
      <c r="F17" s="324"/>
      <c r="G17" s="161"/>
      <c r="H17" s="137"/>
      <c r="I17" s="137"/>
      <c r="J17" s="139"/>
      <c r="K17" s="139"/>
      <c r="L17" s="137"/>
      <c r="M17" s="137"/>
      <c r="N17" s="137"/>
      <c r="O17" s="139"/>
      <c r="P17" s="139"/>
      <c r="Q17" s="137"/>
      <c r="R17" s="137"/>
      <c r="S17" s="139"/>
      <c r="T17" s="139"/>
      <c r="U17" s="140"/>
      <c r="V17" s="141"/>
      <c r="W17" s="141"/>
      <c r="X17" s="142">
        <f t="shared" si="0"/>
        <v>0</v>
      </c>
      <c r="Y17" s="142">
        <f t="shared" si="1"/>
        <v>0</v>
      </c>
      <c r="Z17" s="142">
        <f t="shared" si="2"/>
        <v>0</v>
      </c>
      <c r="AA17" s="142">
        <f t="shared" si="3"/>
        <v>0</v>
      </c>
      <c r="AB17" s="143">
        <f>IFERROR(VLOOKUP(G17,'Diễn giải 2'!$A$4:$F$11,3,FALSE),0)</f>
        <v>0</v>
      </c>
      <c r="AC17" s="143">
        <f>IFERROR(VLOOKUP(G17,'Diễn giải 2'!$A$4:$F$11,4,FALSE),0)</f>
        <v>0</v>
      </c>
      <c r="AD17" s="143">
        <f>IFERROR(VLOOKUP(G17,'Diễn giải 2'!$A$4:$F$11,5,FALSE),0)</f>
        <v>0</v>
      </c>
      <c r="AE17" s="143">
        <f>IFERROR(VLOOKUP(G17,'Diễn giải 2'!$A$4:$F$11,6,FALSE),0)</f>
        <v>0</v>
      </c>
      <c r="AF17" s="142">
        <f t="shared" ref="AF17" si="14">(X17*AB17+Y17*AC17+Z17*AD17+AA17*AE17)</f>
        <v>0</v>
      </c>
      <c r="AG17" s="142">
        <f t="shared" si="4"/>
        <v>0</v>
      </c>
      <c r="AH17" s="142">
        <f t="shared" si="5"/>
        <v>0</v>
      </c>
      <c r="AI17" s="142">
        <f t="shared" si="6"/>
        <v>0</v>
      </c>
      <c r="AJ17" s="142">
        <f t="shared" si="7"/>
        <v>0</v>
      </c>
      <c r="AK17" s="142">
        <f t="shared" si="8"/>
        <v>0</v>
      </c>
      <c r="AL17" s="144">
        <f t="shared" si="9"/>
        <v>0</v>
      </c>
      <c r="AM17" s="144">
        <f t="shared" si="10"/>
        <v>0</v>
      </c>
      <c r="AN17" s="144">
        <f t="shared" si="11"/>
        <v>0</v>
      </c>
      <c r="AO17" s="144">
        <f t="shared" si="12"/>
        <v>0</v>
      </c>
    </row>
    <row r="18" spans="1:41" s="122" customFormat="1" ht="108.9" hidden="1" customHeight="1">
      <c r="A18" s="137"/>
      <c r="B18" s="145"/>
      <c r="C18" s="160"/>
      <c r="D18" s="127"/>
      <c r="E18" s="157"/>
      <c r="F18" s="158"/>
      <c r="G18" s="161"/>
      <c r="H18" s="137"/>
      <c r="I18" s="137"/>
      <c r="J18" s="139"/>
      <c r="K18" s="139"/>
      <c r="L18" s="162"/>
      <c r="M18" s="137"/>
      <c r="N18" s="137"/>
      <c r="O18" s="139"/>
      <c r="P18" s="139"/>
      <c r="Q18" s="137"/>
      <c r="R18" s="137"/>
      <c r="S18" s="139"/>
      <c r="T18" s="139"/>
      <c r="U18" s="140"/>
      <c r="V18" s="141"/>
      <c r="W18" s="141"/>
      <c r="X18" s="142">
        <f t="shared" ref="X18" si="15">IFERROR(MIN(100,(K18/J18)*100)*0.7+L18*100*0.3,0)</f>
        <v>0</v>
      </c>
      <c r="Y18" s="142">
        <f t="shared" ref="Y18" si="16">MAX(0,100-M18*15-N18*50)*0.8+IF(O18="",0,O18*100*0.2)</f>
        <v>0</v>
      </c>
      <c r="Z18" s="142">
        <f t="shared" ref="Z18" si="17">IF(P18="",0,P18*100*0.6)+IF(Q18="",0,IF(Q18&lt;=4,100,MAX(0,100-(Q18-4)*10))*0.2)+IF(R18="",0,R18*100*0.2)</f>
        <v>0</v>
      </c>
      <c r="AA18" s="142">
        <f t="shared" ref="AA18" si="18">IF(COUNTA(S18:W18)=0,0,IF(S18="",0,S18*100*25%)+IF(T18="",0,T18*100*25%)+IF(U18="",0,MIN(1,U18)*100*10%)+IF(V18="",0,MIN(5,V18)/5*100*20%)+IF(W18="",0,MIN(5,W18)/5*100*20%))</f>
        <v>0</v>
      </c>
      <c r="AB18" s="143">
        <f>IFERROR(VLOOKUP(G18,'Diễn giải 2'!$A$4:$F$11,3,FALSE),0)</f>
        <v>0</v>
      </c>
      <c r="AC18" s="143">
        <f>IFERROR(VLOOKUP(G18,'Diễn giải 2'!$A$4:$F$11,4,FALSE),0)</f>
        <v>0</v>
      </c>
      <c r="AD18" s="143">
        <f>IFERROR(VLOOKUP(G18,'Diễn giải 2'!$A$4:$F$11,5,FALSE),0)</f>
        <v>0</v>
      </c>
      <c r="AE18" s="143">
        <f>IFERROR(VLOOKUP(G18,'Diễn giải 2'!$A$4:$F$11,6,FALSE),0)</f>
        <v>0</v>
      </c>
      <c r="AF18" s="142">
        <f t="shared" ref="AF18:AF19" si="19">(X18*AB18+Y18*AC18+Z18*AD18+AA18*AE18)</f>
        <v>0</v>
      </c>
      <c r="AG18" s="142">
        <f t="shared" ref="AG18" si="20">AF18*I18</f>
        <v>0</v>
      </c>
      <c r="AH18" s="142">
        <f t="shared" ref="AH18" si="21">X18*I18*AB18</f>
        <v>0</v>
      </c>
      <c r="AI18" s="142">
        <f t="shared" ref="AI18" si="22">Y18*I18*AC18</f>
        <v>0</v>
      </c>
      <c r="AJ18" s="142">
        <f t="shared" ref="AJ18" si="23">Z18*I18*AD18</f>
        <v>0</v>
      </c>
      <c r="AK18" s="142">
        <f t="shared" ref="AK18" si="24">AA18*I18*AE18</f>
        <v>0</v>
      </c>
      <c r="AL18" s="144">
        <f t="shared" ref="AL18" si="25">I18*AB18</f>
        <v>0</v>
      </c>
      <c r="AM18" s="144">
        <f t="shared" ref="AM18" si="26">I18*AC18</f>
        <v>0</v>
      </c>
      <c r="AN18" s="144">
        <f t="shared" ref="AN18" si="27">I18*AD18</f>
        <v>0</v>
      </c>
      <c r="AO18" s="144">
        <f t="shared" ref="AO18" si="28">I18*AE18</f>
        <v>0</v>
      </c>
    </row>
    <row r="19" spans="1:41" s="122" customFormat="1" ht="108.9" hidden="1" customHeight="1">
      <c r="A19" s="325"/>
      <c r="B19" s="325"/>
      <c r="C19" s="321"/>
      <c r="D19" s="322"/>
      <c r="E19" s="326"/>
      <c r="F19" s="327"/>
      <c r="G19" s="328"/>
      <c r="H19" s="137"/>
      <c r="I19" s="137"/>
      <c r="J19" s="139"/>
      <c r="K19" s="139"/>
      <c r="L19" s="137"/>
      <c r="M19" s="137"/>
      <c r="N19" s="137"/>
      <c r="O19" s="139"/>
      <c r="P19" s="139"/>
      <c r="Q19" s="137"/>
      <c r="R19" s="137"/>
      <c r="S19" s="139"/>
      <c r="T19" s="139"/>
      <c r="U19" s="140"/>
      <c r="V19" s="141"/>
      <c r="W19" s="141"/>
      <c r="X19" s="142">
        <f t="shared" si="0"/>
        <v>0</v>
      </c>
      <c r="Y19" s="142">
        <f t="shared" si="1"/>
        <v>0</v>
      </c>
      <c r="Z19" s="142">
        <f t="shared" si="2"/>
        <v>0</v>
      </c>
      <c r="AA19" s="142">
        <f t="shared" si="3"/>
        <v>0</v>
      </c>
      <c r="AB19" s="143">
        <f>IFERROR(VLOOKUP(G19,'Diễn giải 2'!$A$4:$F$11,3,FALSE),0)</f>
        <v>0</v>
      </c>
      <c r="AC19" s="143">
        <f>IFERROR(VLOOKUP(G19,'Diễn giải 2'!$A$4:$F$11,4,FALSE),0)</f>
        <v>0</v>
      </c>
      <c r="AD19" s="143">
        <f>IFERROR(VLOOKUP(G19,'Diễn giải 2'!$A$4:$F$11,5,FALSE),0)</f>
        <v>0</v>
      </c>
      <c r="AE19" s="143">
        <f>IFERROR(VLOOKUP(G19,'Diễn giải 2'!$A$4:$F$11,6,FALSE),0)</f>
        <v>0</v>
      </c>
      <c r="AF19" s="142">
        <f t="shared" si="19"/>
        <v>0</v>
      </c>
      <c r="AG19" s="142">
        <f t="shared" si="4"/>
        <v>0</v>
      </c>
      <c r="AH19" s="142">
        <f t="shared" si="5"/>
        <v>0</v>
      </c>
      <c r="AI19" s="142">
        <f t="shared" si="6"/>
        <v>0</v>
      </c>
      <c r="AJ19" s="142">
        <f t="shared" si="7"/>
        <v>0</v>
      </c>
      <c r="AK19" s="142">
        <f t="shared" si="8"/>
        <v>0</v>
      </c>
      <c r="AL19" s="144">
        <f t="shared" si="9"/>
        <v>0</v>
      </c>
      <c r="AM19" s="144">
        <f t="shared" si="10"/>
        <v>0</v>
      </c>
      <c r="AN19" s="144">
        <f t="shared" si="11"/>
        <v>0</v>
      </c>
      <c r="AO19" s="144">
        <f t="shared" si="12"/>
        <v>0</v>
      </c>
    </row>
    <row r="20" spans="1:41" ht="22.5" customHeight="1">
      <c r="A20" s="329" t="s">
        <v>72</v>
      </c>
      <c r="B20" s="330"/>
      <c r="C20" s="330"/>
      <c r="D20" s="330"/>
      <c r="E20" s="330"/>
      <c r="F20" s="330"/>
      <c r="G20" s="331"/>
      <c r="H20" s="146">
        <f>SUM(H13:H19)</f>
        <v>20.5</v>
      </c>
      <c r="I20" s="146">
        <f>SUM(I13:I19)</f>
        <v>8</v>
      </c>
      <c r="J20" s="147"/>
      <c r="K20" s="147"/>
      <c r="L20" s="147"/>
      <c r="M20" s="147"/>
      <c r="N20" s="147"/>
      <c r="O20" s="147"/>
      <c r="P20" s="147"/>
      <c r="Q20" s="147"/>
      <c r="R20" s="147"/>
      <c r="S20" s="147"/>
      <c r="T20" s="147"/>
      <c r="U20" s="147"/>
      <c r="V20" s="147"/>
      <c r="W20" s="147"/>
      <c r="X20" s="148">
        <f>IFERROR(SUM(AH13:AH19)/SUM(AL13:AL19),0)</f>
        <v>98.352941176470566</v>
      </c>
      <c r="Y20" s="148">
        <f>IFERROR(SUM(AI13:AI19)/SUM(AM13:AM19),0)</f>
        <v>94.833333333333343</v>
      </c>
      <c r="Z20" s="148">
        <f>IFERROR(SUM(AJ13:AJ19)/SUM(AN13:AN19),0)</f>
        <v>100</v>
      </c>
      <c r="AA20" s="148">
        <f>IFERROR(SUM(AK13:AK19)/SUM(AO13:AO19),0)</f>
        <v>87.687499999999986</v>
      </c>
      <c r="AB20" s="149">
        <f>IFERROR(SUM(AL13:AL19)/SUM(I13:I19),0)</f>
        <v>0.42500000000000004</v>
      </c>
      <c r="AC20" s="149">
        <f>IFERROR(SUM(AM13:AM19)/SUM(I13:I19),0)</f>
        <v>0.3</v>
      </c>
      <c r="AD20" s="149">
        <f>IFERROR(SUM(AN13:AN19)/SUM(I13:I19),0)</f>
        <v>7.4999999999999997E-2</v>
      </c>
      <c r="AE20" s="149">
        <f>IFERROR(SUM(AO13:AO19)/SUM(I13:I19),0)</f>
        <v>0.2</v>
      </c>
      <c r="AF20" s="148">
        <f>IFERROR(SUM(AG13:AG19)/SUM(I13:I19),0)</f>
        <v>95.287499999999994</v>
      </c>
      <c r="AG20" s="148">
        <f t="shared" ref="AG20:AO20" si="29">SUM(AG13:AG19)</f>
        <v>762.3</v>
      </c>
      <c r="AH20" s="148">
        <f t="shared" si="29"/>
        <v>334.4</v>
      </c>
      <c r="AI20" s="148">
        <f t="shared" si="29"/>
        <v>227.60000000000002</v>
      </c>
      <c r="AJ20" s="148">
        <f t="shared" si="29"/>
        <v>60</v>
      </c>
      <c r="AK20" s="148">
        <f t="shared" si="29"/>
        <v>140.29999999999998</v>
      </c>
      <c r="AL20" s="148">
        <f t="shared" si="29"/>
        <v>3.4000000000000004</v>
      </c>
      <c r="AM20" s="148">
        <f t="shared" si="29"/>
        <v>2.4</v>
      </c>
      <c r="AN20" s="148">
        <f t="shared" si="29"/>
        <v>0.6</v>
      </c>
      <c r="AO20" s="148">
        <f t="shared" si="29"/>
        <v>1.6</v>
      </c>
    </row>
    <row r="26" spans="1:41" s="63" customFormat="1" ht="19.5" customHeight="1">
      <c r="A26" s="150"/>
      <c r="B26" s="150"/>
      <c r="C26" s="150"/>
      <c r="D26" s="150"/>
      <c r="E26" s="151"/>
      <c r="F26" s="151"/>
      <c r="G26" s="151"/>
      <c r="H26" s="151"/>
      <c r="I26" s="151"/>
      <c r="J26" s="151"/>
      <c r="K26" s="151"/>
      <c r="L26" s="151"/>
      <c r="M26" s="150"/>
      <c r="N26" s="150"/>
      <c r="O26" s="152"/>
      <c r="P26" s="152"/>
    </row>
    <row r="27" spans="1:41" s="63" customFormat="1" ht="27.75" customHeight="1">
      <c r="A27" s="172" t="s">
        <v>73</v>
      </c>
      <c r="B27" s="173"/>
      <c r="C27" s="174"/>
      <c r="D27" s="153"/>
      <c r="E27" s="175" t="s">
        <v>74</v>
      </c>
      <c r="F27" s="176"/>
      <c r="G27" s="176"/>
      <c r="H27" s="176"/>
      <c r="I27" s="176"/>
      <c r="J27" s="176"/>
      <c r="K27" s="176"/>
      <c r="L27" s="177"/>
      <c r="M27" s="153"/>
      <c r="N27" s="153"/>
      <c r="O27" s="154"/>
      <c r="P27" s="152"/>
    </row>
    <row r="28" spans="1:41" s="63" customFormat="1" ht="30" customHeight="1">
      <c r="A28" s="23"/>
      <c r="B28" s="24" t="s">
        <v>75</v>
      </c>
      <c r="C28" s="25" t="s">
        <v>76</v>
      </c>
      <c r="D28" s="153"/>
      <c r="E28" s="155"/>
      <c r="F28" s="156"/>
      <c r="G28" s="178" t="s">
        <v>77</v>
      </c>
      <c r="H28" s="179"/>
      <c r="I28" s="155"/>
      <c r="J28" s="156"/>
      <c r="K28" s="178" t="s">
        <v>78</v>
      </c>
      <c r="L28" s="179"/>
      <c r="M28" s="153"/>
      <c r="N28" s="153"/>
      <c r="O28" s="154"/>
      <c r="P28" s="152"/>
    </row>
    <row r="29" spans="1:41" s="63" customFormat="1" ht="30" customHeight="1">
      <c r="A29" s="26"/>
      <c r="B29" s="27" t="s">
        <v>79</v>
      </c>
      <c r="C29" s="28" t="s">
        <v>80</v>
      </c>
      <c r="D29" s="153"/>
      <c r="E29" s="168"/>
      <c r="F29" s="169"/>
      <c r="G29" s="170" t="s">
        <v>81</v>
      </c>
      <c r="H29" s="171"/>
      <c r="I29" s="168"/>
      <c r="J29" s="169"/>
      <c r="K29" s="170" t="s">
        <v>82</v>
      </c>
      <c r="L29" s="171"/>
      <c r="M29" s="153"/>
      <c r="N29" s="153"/>
      <c r="O29" s="154"/>
      <c r="P29" s="152"/>
    </row>
    <row r="30" spans="1:41" s="63" customFormat="1" ht="30" customHeight="1">
      <c r="A30" s="26"/>
      <c r="B30" s="27" t="s">
        <v>83</v>
      </c>
      <c r="C30" s="29" t="s">
        <v>84</v>
      </c>
      <c r="D30" s="153"/>
      <c r="E30" s="168"/>
      <c r="F30" s="169"/>
      <c r="G30" s="170" t="s">
        <v>85</v>
      </c>
      <c r="H30" s="171"/>
      <c r="I30" s="168"/>
      <c r="J30" s="169"/>
      <c r="K30" s="170" t="s">
        <v>86</v>
      </c>
      <c r="L30" s="171"/>
      <c r="M30" s="153"/>
      <c r="N30" s="153"/>
      <c r="O30" s="154"/>
      <c r="P30" s="152"/>
    </row>
    <row r="31" spans="1:41" s="63" customFormat="1" ht="30" customHeight="1">
      <c r="A31" s="26"/>
      <c r="B31" s="27" t="s">
        <v>87</v>
      </c>
      <c r="C31" s="29" t="s">
        <v>88</v>
      </c>
      <c r="D31" s="153"/>
      <c r="E31" s="168"/>
      <c r="F31" s="169"/>
      <c r="G31" s="170" t="s">
        <v>89</v>
      </c>
      <c r="H31" s="171"/>
      <c r="I31" s="168"/>
      <c r="J31" s="169"/>
      <c r="K31" s="170" t="s">
        <v>90</v>
      </c>
      <c r="L31" s="171"/>
      <c r="M31" s="153"/>
      <c r="N31" s="153"/>
      <c r="O31" s="154"/>
      <c r="P31" s="152"/>
    </row>
    <row r="32" spans="1:41" s="63" customFormat="1" ht="30" customHeight="1">
      <c r="A32" s="30"/>
      <c r="B32" s="31" t="s">
        <v>91</v>
      </c>
      <c r="C32" s="32" t="s">
        <v>92</v>
      </c>
      <c r="D32" s="153"/>
      <c r="E32" s="189"/>
      <c r="F32" s="190"/>
      <c r="G32" s="191"/>
      <c r="H32" s="192"/>
      <c r="I32" s="189"/>
      <c r="J32" s="190"/>
      <c r="K32" s="191"/>
      <c r="L32" s="192"/>
      <c r="M32" s="153"/>
      <c r="N32" s="153"/>
      <c r="O32" s="154"/>
      <c r="P32" s="152"/>
    </row>
    <row r="33" spans="1:16" s="63" customFormat="1" ht="19.5" customHeight="1">
      <c r="A33" s="125"/>
      <c r="B33" s="125"/>
      <c r="C33" s="125"/>
      <c r="D33" s="153"/>
      <c r="E33" s="153"/>
      <c r="F33" s="153"/>
      <c r="G33" s="153"/>
      <c r="H33" s="153"/>
      <c r="I33" s="153"/>
      <c r="J33" s="153"/>
      <c r="K33" s="153"/>
      <c r="L33" s="153"/>
      <c r="M33" s="153"/>
      <c r="N33" s="153"/>
      <c r="O33" s="154"/>
      <c r="P33" s="152"/>
    </row>
  </sheetData>
  <mergeCells count="41">
    <mergeCell ref="AL9:AO9"/>
    <mergeCell ref="AF9:AF10"/>
    <mergeCell ref="AG9:AG10"/>
    <mergeCell ref="A3:O3"/>
    <mergeCell ref="A4:G4"/>
    <mergeCell ref="H4:O4"/>
    <mergeCell ref="A5:G5"/>
    <mergeCell ref="H5:O5"/>
    <mergeCell ref="P9:R9"/>
    <mergeCell ref="S9:W9"/>
    <mergeCell ref="X9:AA9"/>
    <mergeCell ref="AB9:AE9"/>
    <mergeCell ref="AH9:AK9"/>
    <mergeCell ref="E32:F32"/>
    <mergeCell ref="G32:H32"/>
    <mergeCell ref="I32:J32"/>
    <mergeCell ref="K32:L32"/>
    <mergeCell ref="E29:F29"/>
    <mergeCell ref="G29:H29"/>
    <mergeCell ref="I29:J29"/>
    <mergeCell ref="K29:L29"/>
    <mergeCell ref="E30:F30"/>
    <mergeCell ref="G30:H30"/>
    <mergeCell ref="I30:J30"/>
    <mergeCell ref="K30:L30"/>
    <mergeCell ref="A1:O2"/>
    <mergeCell ref="A8:J9"/>
    <mergeCell ref="E31:F31"/>
    <mergeCell ref="G31:H31"/>
    <mergeCell ref="I31:J31"/>
    <mergeCell ref="K31:L31"/>
    <mergeCell ref="A20:G20"/>
    <mergeCell ref="A27:C27"/>
    <mergeCell ref="E27:L27"/>
    <mergeCell ref="G28:H28"/>
    <mergeCell ref="K28:L28"/>
    <mergeCell ref="A7:AO7"/>
    <mergeCell ref="K8:W8"/>
    <mergeCell ref="X8:AO8"/>
    <mergeCell ref="K9:L9"/>
    <mergeCell ref="M9:O9"/>
  </mergeCells>
  <conditionalFormatting sqref="G13:G19">
    <cfRule type="expression" dxfId="27" priority="9">
      <formula>$G13="REVIEW"</formula>
    </cfRule>
    <cfRule type="expression" dxfId="26" priority="10">
      <formula>$G13="DOC"</formula>
    </cfRule>
    <cfRule type="expression" dxfId="25" priority="11">
      <formula>$G13="RND"</formula>
    </cfRule>
    <cfRule type="expression" dxfId="24" priority="12">
      <formula>$G13="SUPPORT"</formula>
    </cfRule>
    <cfRule type="expression" dxfId="23" priority="13">
      <formula>$G13="MAINT"</formula>
    </cfRule>
    <cfRule type="expression" dxfId="22" priority="14">
      <formula>$G13="BUG"</formula>
    </cfRule>
    <cfRule type="expression" dxfId="21" priority="15">
      <formula>$G13="API"</formula>
    </cfRule>
    <cfRule type="expression" dxfId="20" priority="16">
      <formula>$G13="DEV"</formula>
    </cfRule>
  </conditionalFormatting>
  <conditionalFormatting sqref="AF13:AF19">
    <cfRule type="colorScale" priority="25">
      <colorScale>
        <cfvo type="min"/>
        <cfvo type="percentile" val="50"/>
        <cfvo type="max"/>
        <color rgb="FFF8696B"/>
        <color rgb="FFFFEB84"/>
        <color rgb="FF63BE7B"/>
      </colorScale>
    </cfRule>
  </conditionalFormatting>
  <dataValidations count="3">
    <dataValidation type="list" sqref="B12:AO12 A12:A19 B13:B19 H13:H19 C19" xr:uid="{00000000-0002-0000-0000-000000000000}">
      <formula1>#REF!</formula1>
    </dataValidation>
    <dataValidation sqref="I13:I19" xr:uid="{00000000-0002-0000-0000-000002000000}"/>
    <dataValidation type="list" sqref="L13:L19 R13:R19" xr:uid="{00000000-0002-0000-0000-000003000000}">
      <formula1>"0,1"</formula1>
    </dataValidation>
  </dataValidations>
  <hyperlinks>
    <hyperlink ref="E13" r:id="rId1" xr:uid="{00000000-0004-0000-0000-000003000000}"/>
    <hyperlink ref="E14" r:id="rId5" xr:uid="{00000000-0004-0000-0000-000003000001}"/>
  </hyperlinks>
  <pageMargins left="0.7" right="0.7" top="0.75" bottom="0.75" header="0.3" footer="0.3"/>
  <pageSetup paperSize="9" orientation="portrait" horizontalDpi="300"/>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1000000}">
          <x14:formula1>
            <xm:f>'Diễn giải 2'!$A$4:$A$11</xm:f>
          </x14:formula1>
          <xm:sqref>G13:G19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65"/>
  <sheetViews>
    <sheetView zoomScale="85" zoomScaleNormal="85" workbookViewId="0">
      <selection activeCell="M7" sqref="M7:O7"/>
    </sheetView>
  </sheetViews>
  <sheetFormatPr defaultColWidth="9" defaultRowHeight="15.6"/>
  <cols>
    <col min="1" max="1" width="11.77734375" style="64" customWidth="1"/>
    <col min="2" max="2" width="28.77734375" style="64" customWidth="1"/>
    <col min="3" max="3" width="21" style="64" customWidth="1"/>
    <col min="4" max="12" width="10.88671875" style="64" customWidth="1"/>
    <col min="13" max="13" width="14.6640625" style="64" customWidth="1"/>
    <col min="14" max="14" width="14.33203125" style="64" customWidth="1"/>
    <col min="15" max="15" width="13.21875" style="64" customWidth="1"/>
    <col min="16" max="16" width="9.21875" style="64" hidden="1" customWidth="1"/>
    <col min="17" max="17" width="0.44140625" style="64" hidden="1" customWidth="1"/>
    <col min="18" max="16384" width="9" style="64"/>
  </cols>
  <sheetData>
    <row r="1" spans="1:16" ht="20.100000000000001" customHeight="1">
      <c r="A1" s="163" t="s">
        <v>93</v>
      </c>
      <c r="B1" s="163"/>
      <c r="C1" s="163"/>
      <c r="D1" s="163"/>
      <c r="E1" s="163"/>
      <c r="F1" s="163"/>
      <c r="G1" s="163"/>
      <c r="H1" s="163"/>
      <c r="I1" s="163"/>
      <c r="J1" s="163"/>
      <c r="K1" s="163"/>
      <c r="L1" s="163"/>
      <c r="M1" s="163"/>
      <c r="N1" s="163"/>
      <c r="O1" s="163"/>
      <c r="P1" s="65"/>
    </row>
    <row r="2" spans="1:16" ht="28.5" customHeight="1">
      <c r="A2" s="212"/>
      <c r="B2" s="212"/>
      <c r="C2" s="212"/>
      <c r="D2" s="212"/>
      <c r="E2" s="212"/>
      <c r="F2" s="212"/>
      <c r="G2" s="212"/>
      <c r="H2" s="212"/>
      <c r="I2" s="212"/>
      <c r="J2" s="212"/>
      <c r="K2" s="212"/>
      <c r="L2" s="212"/>
      <c r="M2" s="212"/>
      <c r="N2" s="212"/>
      <c r="O2" s="212"/>
      <c r="P2" s="66"/>
    </row>
    <row r="3" spans="1:16" s="63" customFormat="1" ht="4.5" customHeight="1">
      <c r="A3" s="67"/>
      <c r="B3" s="67"/>
      <c r="C3" s="67"/>
      <c r="D3" s="67"/>
      <c r="E3" s="67"/>
      <c r="F3" s="67"/>
      <c r="G3" s="67"/>
      <c r="H3" s="67"/>
      <c r="I3" s="67"/>
      <c r="J3" s="67"/>
      <c r="K3" s="67"/>
      <c r="L3" s="67"/>
      <c r="M3" s="67"/>
      <c r="N3" s="67"/>
      <c r="O3" s="67"/>
      <c r="P3" s="66"/>
    </row>
    <row r="4" spans="1:16" ht="20.100000000000001" customHeight="1">
      <c r="A4" s="68"/>
      <c r="B4" s="68"/>
      <c r="C4" s="68"/>
      <c r="D4" s="68"/>
      <c r="E4" s="68"/>
      <c r="F4" s="68"/>
      <c r="G4" s="68"/>
      <c r="H4" s="68"/>
      <c r="I4" s="68"/>
      <c r="J4" s="68"/>
      <c r="K4" s="68"/>
      <c r="L4" s="68"/>
      <c r="M4" s="68"/>
      <c r="N4" s="68"/>
      <c r="O4" s="69"/>
      <c r="P4" s="70"/>
    </row>
    <row r="5" spans="1:16" ht="24.9" customHeight="1">
      <c r="A5" s="213" t="s">
        <v>94</v>
      </c>
      <c r="B5" s="214"/>
      <c r="C5" s="214"/>
      <c r="D5" s="214"/>
      <c r="E5" s="214"/>
      <c r="F5" s="214"/>
      <c r="G5" s="214"/>
      <c r="H5" s="214"/>
      <c r="I5" s="214"/>
      <c r="J5" s="214"/>
      <c r="K5" s="214"/>
      <c r="L5" s="214"/>
      <c r="M5" s="214"/>
      <c r="N5" s="214"/>
      <c r="O5" s="215"/>
      <c r="P5" s="71"/>
    </row>
    <row r="6" spans="1:16" ht="20.100000000000001" customHeight="1">
      <c r="A6" s="292" t="s">
        <v>95</v>
      </c>
      <c r="B6" s="293"/>
      <c r="C6" s="294" t="str">
        <f>'01. Tổng task'!H4</f>
        <v>Hoàng Quý Đạt</v>
      </c>
      <c r="D6" s="284"/>
      <c r="E6" s="281" t="s">
        <v>96</v>
      </c>
      <c r="F6" s="295"/>
      <c r="G6" s="282"/>
      <c r="H6" s="283" t="s">
        <v>97</v>
      </c>
      <c r="I6" s="296"/>
      <c r="J6" s="284"/>
      <c r="K6" s="297" t="s">
        <v>98</v>
      </c>
      <c r="L6" s="298"/>
      <c r="M6" s="299">
        <v>45701</v>
      </c>
      <c r="N6" s="300"/>
      <c r="O6" s="301"/>
      <c r="P6" s="70"/>
    </row>
    <row r="7" spans="1:16" ht="20.100000000000001" customHeight="1">
      <c r="A7" s="292" t="s">
        <v>99</v>
      </c>
      <c r="B7" s="293"/>
      <c r="C7" s="283" t="s">
        <v>100</v>
      </c>
      <c r="D7" s="284"/>
      <c r="E7" s="297" t="s">
        <v>101</v>
      </c>
      <c r="F7" s="302"/>
      <c r="G7" s="298"/>
      <c r="H7" s="288" t="s">
        <v>328</v>
      </c>
      <c r="I7" s="289"/>
      <c r="J7" s="290"/>
      <c r="K7" s="297" t="s">
        <v>102</v>
      </c>
      <c r="L7" s="298"/>
      <c r="M7" s="299">
        <v>46312</v>
      </c>
      <c r="N7" s="300"/>
      <c r="O7" s="301"/>
      <c r="P7" s="70"/>
    </row>
    <row r="8" spans="1:16" ht="20.100000000000001" customHeight="1">
      <c r="A8" s="281" t="s">
        <v>103</v>
      </c>
      <c r="B8" s="282"/>
      <c r="C8" s="283" t="str">
        <f>'01. Tổng task'!H5</f>
        <v>2026-10</v>
      </c>
      <c r="D8" s="284"/>
      <c r="E8" s="285" t="s">
        <v>104</v>
      </c>
      <c r="F8" s="286"/>
      <c r="G8" s="287"/>
      <c r="H8" s="288"/>
      <c r="I8" s="289"/>
      <c r="J8" s="290"/>
      <c r="K8" s="70"/>
      <c r="L8" s="70"/>
      <c r="M8" s="70"/>
      <c r="N8" s="70"/>
      <c r="O8" s="70"/>
      <c r="P8" s="70"/>
    </row>
    <row r="9" spans="1:16" ht="20.100000000000001" customHeight="1">
      <c r="A9" s="72"/>
      <c r="B9" s="72"/>
      <c r="C9" s="72"/>
      <c r="D9" s="72"/>
      <c r="E9" s="72"/>
      <c r="F9" s="72"/>
      <c r="G9" s="72"/>
      <c r="H9" s="72"/>
      <c r="I9" s="72"/>
      <c r="J9" s="72"/>
      <c r="K9" s="72"/>
      <c r="L9" s="72"/>
      <c r="M9" s="72"/>
      <c r="N9" s="72"/>
      <c r="O9" s="70"/>
      <c r="P9" s="70"/>
    </row>
    <row r="10" spans="1:16" ht="24.9" customHeight="1">
      <c r="A10" s="213" t="s">
        <v>105</v>
      </c>
      <c r="B10" s="214"/>
      <c r="C10" s="214"/>
      <c r="D10" s="214"/>
      <c r="E10" s="214"/>
      <c r="F10" s="214"/>
      <c r="G10" s="214"/>
      <c r="H10" s="214"/>
      <c r="I10" s="214"/>
      <c r="J10" s="214"/>
      <c r="K10" s="214"/>
      <c r="L10" s="214"/>
      <c r="M10" s="214"/>
      <c r="N10" s="214"/>
      <c r="O10" s="215"/>
      <c r="P10" s="71"/>
    </row>
    <row r="11" spans="1:16" ht="39.75" customHeight="1">
      <c r="A11" s="38" t="s">
        <v>17</v>
      </c>
      <c r="B11" s="38" t="s">
        <v>106</v>
      </c>
      <c r="C11" s="216" t="s">
        <v>107</v>
      </c>
      <c r="D11" s="217"/>
      <c r="E11" s="217"/>
      <c r="F11" s="218"/>
      <c r="G11" s="216" t="s">
        <v>108</v>
      </c>
      <c r="H11" s="217"/>
      <c r="I11" s="217"/>
      <c r="J11" s="217"/>
      <c r="K11" s="217"/>
      <c r="L11" s="218"/>
      <c r="M11" s="38" t="s">
        <v>109</v>
      </c>
      <c r="N11" s="38" t="s">
        <v>110</v>
      </c>
      <c r="O11" s="38" t="s">
        <v>111</v>
      </c>
      <c r="P11" s="70"/>
    </row>
    <row r="12" spans="1:16" ht="261.75" customHeight="1">
      <c r="A12" s="73">
        <v>1</v>
      </c>
      <c r="B12" s="74" t="str" cm="1">
        <f t="array" ref="B12">IFERROR(INDEX('01. Tổng task'!$C$13:$C$109,MATCH(0,COUNTIF($B$11:B11,'01. Tổng task'!$C$13:$C$109)+IF('01. Tổng task'!$C$13:$C$109="",1,0),0)),"")</f>
        <v>[SW2026] ITS015 - Hữu Nghị-Chi Lăng</v>
      </c>
      <c r="C12" s="244" t="str">
        <f>P12</f>
        <v>[2026] XD001.5.6 Service tích hợp dữ liệu 2
XD001.6.3. Service tích hợp thiết bị</v>
      </c>
      <c r="D12" s="245"/>
      <c r="E12" s="245"/>
      <c r="F12" s="245"/>
      <c r="G12" s="291"/>
      <c r="H12" s="245"/>
      <c r="I12" s="245"/>
      <c r="J12" s="245"/>
      <c r="K12" s="245"/>
      <c r="L12" s="245"/>
      <c r="M12" s="76">
        <f>COUNTIF('01. Tổng task'!$C$13:$C$19,B12)</f>
        <v>2</v>
      </c>
      <c r="N12" s="76">
        <f>SUMIF('01. Tổng task'!$C$13:$C$19,B12,'01. Tổng task'!$I$13:$I$19)</f>
        <v>8</v>
      </c>
      <c r="O12" s="77">
        <f>IFERROR(SUMPRODUCT(('01. Tổng task'!$C$13:$C$19=$B12)*'01. Tổng task'!$I$13:$I$19*'01. Tổng task'!$AF$13:$AF$19)/SUMIF('01. Tổng task'!$C$13:$C$19,$B12,'01. Tổng task'!$I$13:$I$19),0)</f>
        <v>100</v>
      </c>
      <c r="P12" s="75" t="str">
        <f t="array" ref="P12">IF($B12="","",_xlfn.TEXTJOIN(CHAR(10),TRUE,IF('01. Tổng task'!$C$13:$C$109=$B12,'01. Tổng task'!$D$13:$D$109,"")))</f>
        <v>[2026] XD001.5.6 Service tích hợp dữ liệu 2
XD001.6.3. Service tích hợp thiết bị</v>
      </c>
    </row>
    <row r="13" spans="1:16" ht="95.1" customHeight="1">
      <c r="A13" s="73">
        <v>2</v>
      </c>
      <c r="B13" s="74" t="str" cm="1">
        <f t="array" ref="B13">IFERROR(INDEX('01. Tổng task'!$C$13:$C$109,MATCH(0,COUNTIF($B$11:B12,'01. Tổng task'!$C$13:$C$109)+IF('01. Tổng task'!$C$13:$C$109="",1,0),0)),"")</f>
        <v/>
      </c>
      <c r="C13" s="244" t="str">
        <f>P13</f>
        <v/>
      </c>
      <c r="D13" s="245"/>
      <c r="E13" s="245"/>
      <c r="F13" s="245"/>
      <c r="G13" s="244"/>
      <c r="H13" s="245"/>
      <c r="I13" s="245"/>
      <c r="J13" s="245"/>
      <c r="K13" s="245"/>
      <c r="L13" s="245"/>
      <c r="M13" s="76">
        <f>COUNTIF('01. Tổng task'!$C$13:$C$19,B13)</f>
        <v>0</v>
      </c>
      <c r="N13" s="76">
        <f>SUMIF('01. Tổng task'!$C$13:$C$19,B13,'01. Tổng task'!$I$13:$I$19)</f>
        <v>0</v>
      </c>
      <c r="O13" s="77" cm="1">
        <f t="array" ref="O13">IFERROR(SUMPRODUCT(('01. Tổng task'!$C$13:$C$19=$B13)*'01. Tổng task'!$I$13:$I$19*'01. Tổng task'!$AF$13:$AF$19)/SUMIF('01. Tổng task'!$C$13:$C$19,$B13,'01. Tổng task'!$I$13:$I$19),0)</f>
        <v>0</v>
      </c>
      <c r="P13" s="75" t="str">
        <f t="array" ref="P13">IF($B13="","",_xlfn.TEXTJOIN(CHAR(10),TRUE,IF('01. Tổng task'!$C$13:$C$109=$B13,'01. Tổng task'!$D$13:$D$109,"")))</f>
        <v>0</v>
      </c>
    </row>
    <row r="14" spans="1:16" ht="20.100000000000001" customHeight="1">
      <c r="A14" s="257" t="s">
        <v>112</v>
      </c>
      <c r="B14" s="258"/>
      <c r="C14" s="258"/>
      <c r="D14" s="258"/>
      <c r="E14" s="258"/>
      <c r="F14" s="258"/>
      <c r="G14" s="258"/>
      <c r="H14" s="258"/>
      <c r="I14" s="258"/>
      <c r="J14" s="258"/>
      <c r="K14" s="258"/>
      <c r="L14" s="258"/>
      <c r="M14" s="78">
        <f>SUM(M12:M13)</f>
        <v>1</v>
      </c>
      <c r="N14" s="78">
        <f>SUM(N12:N13)</f>
        <v>0</v>
      </c>
      <c r="O14" s="80">
        <f>IFERROR(AVERAGEIF(B12:B13,"?*",O12:O13),0)</f>
        <v>0</v>
      </c>
      <c r="P14" s="79"/>
    </row>
    <row r="15" spans="1:16" ht="20.100000000000001" customHeight="1">
      <c r="A15" s="81"/>
      <c r="B15" s="81"/>
      <c r="C15" s="81"/>
      <c r="D15" s="81"/>
      <c r="E15" s="81"/>
      <c r="F15" s="81"/>
      <c r="G15" s="81"/>
      <c r="H15" s="81"/>
      <c r="I15" s="81"/>
      <c r="J15" s="81"/>
      <c r="K15" s="81"/>
      <c r="L15" s="81"/>
      <c r="M15" s="81"/>
      <c r="N15" s="81"/>
      <c r="O15" s="82"/>
      <c r="P15" s="82"/>
    </row>
    <row r="16" spans="1:16" ht="40.5" customHeight="1">
      <c r="A16" s="274" t="s">
        <v>113</v>
      </c>
      <c r="B16" s="214"/>
      <c r="C16" s="214"/>
      <c r="D16" s="214"/>
      <c r="E16" s="214"/>
      <c r="F16" s="214"/>
      <c r="G16" s="214"/>
      <c r="H16" s="214"/>
      <c r="I16" s="214"/>
      <c r="J16" s="214"/>
      <c r="K16" s="214"/>
      <c r="L16" s="214"/>
      <c r="M16" s="214"/>
      <c r="N16" s="214"/>
      <c r="O16" s="215"/>
      <c r="P16" s="75"/>
    </row>
    <row r="17" spans="1:16" ht="43.5" customHeight="1">
      <c r="A17" s="38" t="s">
        <v>17</v>
      </c>
      <c r="B17" s="275" t="s">
        <v>114</v>
      </c>
      <c r="C17" s="276"/>
      <c r="D17" s="277" t="s">
        <v>115</v>
      </c>
      <c r="E17" s="277"/>
      <c r="F17" s="278"/>
      <c r="G17" s="38" t="s">
        <v>116</v>
      </c>
      <c r="H17" s="38" t="s">
        <v>117</v>
      </c>
      <c r="I17" s="38" t="s">
        <v>118</v>
      </c>
      <c r="J17" s="38" t="s">
        <v>119</v>
      </c>
      <c r="K17" s="38" t="s">
        <v>120</v>
      </c>
      <c r="L17" s="216" t="s">
        <v>121</v>
      </c>
      <c r="M17" s="217"/>
      <c r="N17" s="217"/>
      <c r="O17" s="217"/>
      <c r="P17" s="83"/>
    </row>
    <row r="18" spans="1:16" ht="95.25" customHeight="1">
      <c r="A18" s="73">
        <v>1</v>
      </c>
      <c r="B18" s="265" t="s">
        <v>122</v>
      </c>
      <c r="C18" s="266"/>
      <c r="D18" s="279" t="s">
        <v>123</v>
      </c>
      <c r="E18" s="279"/>
      <c r="F18" s="280"/>
      <c r="G18" s="85">
        <v>0.4</v>
      </c>
      <c r="H18" s="86">
        <v>8</v>
      </c>
      <c r="I18" s="86"/>
      <c r="J18" s="86">
        <f>H18*G18</f>
        <v>0</v>
      </c>
      <c r="K18" s="86">
        <f>I18*G18</f>
        <v>0</v>
      </c>
      <c r="L18" s="262"/>
      <c r="M18" s="263"/>
      <c r="N18" s="263"/>
      <c r="O18" s="264"/>
      <c r="P18" s="75"/>
    </row>
    <row r="19" spans="1:16" ht="80.25" customHeight="1">
      <c r="A19" s="87">
        <v>2</v>
      </c>
      <c r="B19" s="259" t="s">
        <v>124</v>
      </c>
      <c r="C19" s="260"/>
      <c r="D19" s="259" t="s">
        <v>125</v>
      </c>
      <c r="E19" s="261"/>
      <c r="F19" s="260"/>
      <c r="G19" s="89">
        <v>0.3</v>
      </c>
      <c r="H19" s="90">
        <v>8</v>
      </c>
      <c r="I19" s="90"/>
      <c r="J19" s="86">
        <f t="shared" ref="J19:J21" si="0">H19*G19</f>
        <v>0</v>
      </c>
      <c r="K19" s="86">
        <f t="shared" ref="K19:K21" si="1">I19*G19</f>
        <v>0</v>
      </c>
      <c r="L19" s="262"/>
      <c r="M19" s="263"/>
      <c r="N19" s="263"/>
      <c r="O19" s="264"/>
      <c r="P19" s="82"/>
    </row>
    <row r="20" spans="1:16" ht="44.1" customHeight="1">
      <c r="A20" s="73">
        <v>3</v>
      </c>
      <c r="B20" s="265" t="s">
        <v>126</v>
      </c>
      <c r="C20" s="266"/>
      <c r="D20" s="265" t="s">
        <v>127</v>
      </c>
      <c r="E20" s="267"/>
      <c r="F20" s="266"/>
      <c r="G20" s="85">
        <v>0.2</v>
      </c>
      <c r="H20" s="86">
        <v>8</v>
      </c>
      <c r="I20" s="86"/>
      <c r="J20" s="86">
        <f t="shared" si="0"/>
        <v>0</v>
      </c>
      <c r="K20" s="86">
        <f t="shared" si="1"/>
        <v>0</v>
      </c>
      <c r="L20" s="262"/>
      <c r="M20" s="263"/>
      <c r="N20" s="263"/>
      <c r="O20" s="264"/>
      <c r="P20" s="75"/>
    </row>
    <row r="21" spans="1:16" ht="44.1" customHeight="1">
      <c r="A21" s="87">
        <v>4</v>
      </c>
      <c r="B21" s="268" t="s">
        <v>128</v>
      </c>
      <c r="C21" s="269"/>
      <c r="D21" s="268" t="s">
        <v>129</v>
      </c>
      <c r="E21" s="270"/>
      <c r="F21" s="269"/>
      <c r="G21" s="89">
        <v>0.1</v>
      </c>
      <c r="H21" s="90">
        <v>8</v>
      </c>
      <c r="I21" s="90"/>
      <c r="J21" s="86">
        <f t="shared" si="0"/>
        <v>0</v>
      </c>
      <c r="K21" s="86">
        <f t="shared" si="1"/>
        <v>0</v>
      </c>
      <c r="L21" s="271"/>
      <c r="M21" s="272"/>
      <c r="N21" s="272"/>
      <c r="O21" s="273"/>
      <c r="P21" s="82"/>
    </row>
    <row r="22" spans="1:16" ht="20.100000000000001" customHeight="1">
      <c r="A22" s="257" t="s">
        <v>112</v>
      </c>
      <c r="B22" s="258"/>
      <c r="C22" s="258"/>
      <c r="D22" s="78"/>
      <c r="E22" s="78"/>
      <c r="F22" s="78"/>
      <c r="G22" s="78">
        <f>SUM(G18:G21)</f>
        <v>1</v>
      </c>
      <c r="H22" s="91"/>
      <c r="I22" s="91"/>
      <c r="J22" s="91">
        <f>SUM(J18:J21)</f>
        <v>0</v>
      </c>
      <c r="K22" s="91">
        <f>SUM(K18:K21)</f>
        <v>0</v>
      </c>
      <c r="L22" s="78"/>
      <c r="M22" s="79"/>
      <c r="N22" s="79"/>
      <c r="O22" s="79"/>
      <c r="P22" s="79"/>
    </row>
    <row r="23" spans="1:16" ht="20.100000000000001" customHeight="1">
      <c r="A23" s="81"/>
      <c r="B23" s="81"/>
      <c r="C23" s="81"/>
      <c r="D23" s="81"/>
      <c r="E23" s="81"/>
      <c r="F23" s="81"/>
      <c r="G23" s="81"/>
      <c r="H23" s="81"/>
      <c r="I23" s="81"/>
      <c r="J23" s="81"/>
      <c r="K23" s="81"/>
      <c r="L23" s="81"/>
      <c r="M23" s="81"/>
      <c r="N23" s="81"/>
      <c r="O23" s="82"/>
      <c r="P23" s="82"/>
    </row>
    <row r="24" spans="1:16" ht="24.9" customHeight="1">
      <c r="A24" s="213" t="s">
        <v>130</v>
      </c>
      <c r="B24" s="214"/>
      <c r="C24" s="214"/>
      <c r="D24" s="214"/>
      <c r="E24" s="214"/>
      <c r="F24" s="214"/>
      <c r="G24" s="214"/>
      <c r="H24" s="214"/>
      <c r="I24" s="214"/>
      <c r="J24" s="214"/>
      <c r="K24" s="214"/>
      <c r="L24" s="214"/>
      <c r="M24" s="214"/>
      <c r="N24" s="214"/>
      <c r="O24" s="215"/>
      <c r="P24" s="75"/>
    </row>
    <row r="25" spans="1:16" ht="30.75" customHeight="1">
      <c r="A25" s="216" t="s">
        <v>131</v>
      </c>
      <c r="B25" s="218"/>
      <c r="C25" s="38" t="s">
        <v>132</v>
      </c>
      <c r="D25" s="216" t="s">
        <v>133</v>
      </c>
      <c r="E25" s="218"/>
      <c r="F25" s="216" t="s">
        <v>14</v>
      </c>
      <c r="G25" s="218"/>
      <c r="H25" s="81"/>
      <c r="I25" s="81"/>
      <c r="J25" s="81"/>
      <c r="K25" s="81"/>
      <c r="L25" s="81"/>
      <c r="M25" s="81"/>
      <c r="N25" s="81"/>
      <c r="O25" s="82"/>
      <c r="P25" s="82"/>
    </row>
    <row r="26" spans="1:16" ht="24.9" customHeight="1">
      <c r="A26" s="244" t="s">
        <v>134</v>
      </c>
      <c r="B26" s="245"/>
      <c r="C26" s="85">
        <v>0.4</v>
      </c>
      <c r="D26" s="246">
        <f>IFERROR(SUM('01. Tổng task'!$AH$13:$AH$516)/SUM('01. Tổng task'!$AL$13:$AL$516),0)</f>
        <v>98.352941176470566</v>
      </c>
      <c r="E26" s="247"/>
      <c r="F26" s="248">
        <f>C26*D26</f>
        <v>39.341176470588231</v>
      </c>
      <c r="G26" s="245"/>
      <c r="H26" s="74"/>
      <c r="I26" s="74"/>
      <c r="J26" s="74"/>
      <c r="K26" s="74"/>
      <c r="L26" s="74"/>
      <c r="M26" s="74"/>
      <c r="N26" s="74"/>
      <c r="O26" s="75"/>
      <c r="P26" s="75"/>
    </row>
    <row r="27" spans="1:16" ht="24.9" customHeight="1">
      <c r="A27" s="249" t="s">
        <v>135</v>
      </c>
      <c r="B27" s="250"/>
      <c r="C27" s="89">
        <v>0.35</v>
      </c>
      <c r="D27" s="251">
        <f>IFERROR(SUM('01. Tổng task'!$AI$13:$AI$516)/SUM('01. Tổng task'!$AM$13:$AM$516),0)</f>
        <v>94.833333333333343</v>
      </c>
      <c r="E27" s="252"/>
      <c r="F27" s="253">
        <f>C27*D27</f>
        <v>33.19166666666667</v>
      </c>
      <c r="G27" s="250"/>
      <c r="H27" s="81"/>
      <c r="I27" s="81"/>
      <c r="J27" s="81"/>
      <c r="K27" s="81"/>
      <c r="L27" s="81"/>
      <c r="M27" s="81"/>
      <c r="N27" s="81"/>
      <c r="O27" s="82"/>
      <c r="P27" s="82"/>
    </row>
    <row r="28" spans="1:16" ht="24.9" customHeight="1">
      <c r="A28" s="244" t="s">
        <v>136</v>
      </c>
      <c r="B28" s="245"/>
      <c r="C28" s="85">
        <v>0.15</v>
      </c>
      <c r="D28" s="246">
        <f>IFERROR(SUM('01. Tổng task'!$AJ$13:$AJ$516)/SUM('01. Tổng task'!$AN$13:$AN$516),0)</f>
        <v>100</v>
      </c>
      <c r="E28" s="247"/>
      <c r="F28" s="248">
        <f>C28*D28</f>
        <v>15</v>
      </c>
      <c r="G28" s="245"/>
      <c r="H28" s="74"/>
      <c r="I28" s="74"/>
      <c r="J28" s="74"/>
      <c r="K28" s="74"/>
      <c r="L28" s="74"/>
      <c r="M28" s="74"/>
      <c r="N28" s="74"/>
      <c r="O28" s="75"/>
      <c r="P28" s="75"/>
    </row>
    <row r="29" spans="1:16" ht="24.9" customHeight="1">
      <c r="A29" s="249" t="s">
        <v>137</v>
      </c>
      <c r="B29" s="250"/>
      <c r="C29" s="89">
        <v>0.1</v>
      </c>
      <c r="D29" s="251">
        <f>IFERROR(SUM('01. Tổng task'!$AK$13:$AK$19)/SUM('01. Tổng task'!$AO$13:$AO$19),0)</f>
        <v>87.687499999999986</v>
      </c>
      <c r="E29" s="252"/>
      <c r="F29" s="253">
        <f>C29*D29</f>
        <v>8.7687499999999989</v>
      </c>
      <c r="G29" s="250"/>
      <c r="H29" s="81"/>
      <c r="I29" s="81"/>
      <c r="J29" s="81"/>
      <c r="K29" s="81"/>
      <c r="L29" s="81"/>
      <c r="M29" s="81"/>
      <c r="N29" s="81"/>
      <c r="O29" s="82"/>
      <c r="P29" s="82"/>
    </row>
    <row r="30" spans="1:16" ht="24.9" customHeight="1">
      <c r="A30" s="254" t="s">
        <v>138</v>
      </c>
      <c r="B30" s="255"/>
      <c r="C30" s="92">
        <v>1</v>
      </c>
      <c r="D30" s="256"/>
      <c r="E30" s="255"/>
      <c r="F30" s="256">
        <f>SUM($F$26:$F$29)</f>
        <v>96.301593137254898</v>
      </c>
      <c r="G30" s="255"/>
      <c r="H30" s="74"/>
      <c r="I30" s="74"/>
      <c r="J30" s="74"/>
      <c r="K30" s="74"/>
      <c r="L30" s="74"/>
      <c r="M30" s="74"/>
      <c r="N30" s="74"/>
      <c r="O30" s="74"/>
      <c r="P30" s="79"/>
    </row>
    <row r="31" spans="1:16" s="63" customFormat="1" ht="24.9" customHeight="1">
      <c r="A31" s="93"/>
      <c r="B31" s="94"/>
      <c r="C31" s="95"/>
      <c r="D31" s="96"/>
      <c r="E31" s="94"/>
      <c r="F31" s="96"/>
      <c r="G31" s="94"/>
      <c r="H31" s="84"/>
      <c r="I31" s="74"/>
      <c r="J31" s="74"/>
      <c r="K31" s="74"/>
      <c r="L31" s="74"/>
      <c r="M31" s="74"/>
      <c r="N31" s="74"/>
      <c r="O31" s="74"/>
      <c r="P31" s="97"/>
    </row>
    <row r="32" spans="1:16" s="63" customFormat="1" ht="24.9" customHeight="1">
      <c r="A32" s="93"/>
      <c r="B32" s="94"/>
      <c r="C32" s="95"/>
      <c r="D32" s="96"/>
      <c r="E32" s="94"/>
      <c r="F32" s="96"/>
      <c r="G32" s="94"/>
      <c r="H32" s="84"/>
      <c r="I32" s="74"/>
      <c r="J32" s="74"/>
      <c r="K32" s="74"/>
      <c r="L32" s="74"/>
      <c r="M32" s="74"/>
      <c r="N32" s="74"/>
      <c r="O32" s="74"/>
      <c r="P32" s="97"/>
    </row>
    <row r="33" spans="1:16" s="63" customFormat="1" ht="24.9" customHeight="1">
      <c r="A33" s="93"/>
      <c r="B33" s="94"/>
      <c r="C33" s="95"/>
      <c r="D33" s="96"/>
      <c r="E33" s="94"/>
      <c r="F33" s="96"/>
      <c r="G33" s="94"/>
      <c r="H33" s="84"/>
      <c r="I33" s="74"/>
      <c r="J33" s="74"/>
      <c r="K33" s="74"/>
      <c r="L33" s="74"/>
      <c r="M33" s="74"/>
      <c r="N33" s="74"/>
      <c r="O33" s="74"/>
      <c r="P33" s="97"/>
    </row>
    <row r="34" spans="1:16" ht="20.100000000000001" customHeight="1">
      <c r="A34" s="98"/>
      <c r="B34" s="98"/>
      <c r="C34" s="98"/>
      <c r="D34" s="98"/>
      <c r="E34" s="98"/>
      <c r="F34" s="98"/>
      <c r="G34" s="98"/>
      <c r="H34" s="81"/>
      <c r="I34" s="99"/>
      <c r="J34" s="99"/>
      <c r="K34" s="99"/>
      <c r="L34" s="99"/>
      <c r="M34" s="81"/>
      <c r="N34" s="81"/>
      <c r="O34" s="82"/>
      <c r="P34" s="82"/>
    </row>
    <row r="35" spans="1:16" s="63" customFormat="1" ht="29.25" customHeight="1">
      <c r="A35" s="175" t="s">
        <v>139</v>
      </c>
      <c r="B35" s="176"/>
      <c r="C35" s="176"/>
      <c r="D35" s="176"/>
      <c r="E35" s="176"/>
      <c r="F35" s="176"/>
      <c r="G35" s="177"/>
      <c r="H35" s="88"/>
      <c r="I35" s="175" t="s">
        <v>73</v>
      </c>
      <c r="J35" s="176"/>
      <c r="K35" s="176"/>
      <c r="L35" s="177"/>
      <c r="M35" s="88"/>
      <c r="N35" s="81"/>
      <c r="O35" s="82"/>
      <c r="P35" s="82"/>
    </row>
    <row r="36" spans="1:16" ht="30" customHeight="1">
      <c r="A36" s="240" t="s">
        <v>140</v>
      </c>
      <c r="B36" s="241"/>
      <c r="C36" s="38" t="s">
        <v>141</v>
      </c>
      <c r="D36" s="240" t="s">
        <v>22</v>
      </c>
      <c r="E36" s="242"/>
      <c r="F36" s="242"/>
      <c r="G36" s="241"/>
      <c r="H36" s="84"/>
      <c r="I36" s="23"/>
      <c r="J36" s="24" t="s">
        <v>75</v>
      </c>
      <c r="K36" s="100" t="s">
        <v>76</v>
      </c>
      <c r="L36" s="101" t="str">
        <f>_xlfn.UNICHAR(9733)&amp;_xlfn.UNICHAR(9733)&amp;_xlfn.UNICHAR(9733)&amp;_xlfn.UNICHAR(9733)&amp;_xlfn.UNICHAR(9733)</f>
        <v>★★★★★</v>
      </c>
      <c r="M36" s="84"/>
      <c r="N36" s="74"/>
      <c r="O36" s="75"/>
      <c r="P36" s="75"/>
    </row>
    <row r="37" spans="1:16" ht="33.9" customHeight="1">
      <c r="A37" s="229" t="s">
        <v>142</v>
      </c>
      <c r="B37" s="230"/>
      <c r="C37" s="76">
        <f>COUNT('01. Tổng task'!$A$13:$A$516)</f>
        <v>2</v>
      </c>
      <c r="D37" s="243" t="s">
        <v>143</v>
      </c>
      <c r="E37" s="232"/>
      <c r="F37" s="232"/>
      <c r="G37" s="233"/>
      <c r="H37" s="88"/>
      <c r="I37" s="26"/>
      <c r="J37" s="27" t="s">
        <v>79</v>
      </c>
      <c r="K37" s="102" t="s">
        <v>80</v>
      </c>
      <c r="L37" s="103" t="str">
        <f>_xlfn.UNICHAR(9733)&amp;_xlfn.UNICHAR(9733)&amp;_xlfn.UNICHAR(9733)&amp;_xlfn.UNICHAR(9733)</f>
        <v>★★★★</v>
      </c>
      <c r="M37" s="88"/>
      <c r="N37" s="81"/>
      <c r="O37" s="82"/>
      <c r="P37" s="82"/>
    </row>
    <row r="38" spans="1:16" ht="33.9" customHeight="1">
      <c r="A38" s="224" t="s">
        <v>144</v>
      </c>
      <c r="B38" s="225"/>
      <c r="C38" s="104">
        <f>SUMIFS('01. Tổng task'!$I$13:$I$516,'01. Tổng task'!$A$13:$A$516,"&gt;0")</f>
        <v>0</v>
      </c>
      <c r="D38" s="226" t="s">
        <v>145</v>
      </c>
      <c r="E38" s="227"/>
      <c r="F38" s="227"/>
      <c r="G38" s="228"/>
      <c r="H38" s="84"/>
      <c r="I38" s="26"/>
      <c r="J38" s="27" t="s">
        <v>83</v>
      </c>
      <c r="K38" s="27" t="s">
        <v>84</v>
      </c>
      <c r="L38" s="105" t="str">
        <f>_xlfn.UNICHAR(9733)&amp;_xlfn.UNICHAR(9733)&amp;_xlfn.UNICHAR(9733)</f>
        <v>★★★</v>
      </c>
      <c r="M38" s="84"/>
      <c r="N38" s="74"/>
      <c r="O38" s="75"/>
      <c r="P38" s="75"/>
    </row>
    <row r="39" spans="1:16" ht="33.9" customHeight="1">
      <c r="A39" s="229" t="s">
        <v>146</v>
      </c>
      <c r="B39" s="230"/>
      <c r="C39" s="106">
        <f>IFERROR(SUMIFS('01. Tổng task'!$AG$13:$AG$516,'01. Tổng task'!$A$13:$A$516,"&gt;0")/SUMIFS('01. Tổng task'!$I$13:$I$516,'01. Tổng task'!$A$13:$A$516,"&gt;0"),0)</f>
        <v>0</v>
      </c>
      <c r="D39" s="243" t="s">
        <v>147</v>
      </c>
      <c r="E39" s="232"/>
      <c r="F39" s="232"/>
      <c r="G39" s="233"/>
      <c r="H39" s="88"/>
      <c r="I39" s="26"/>
      <c r="J39" s="27" t="s">
        <v>87</v>
      </c>
      <c r="K39" s="27" t="s">
        <v>88</v>
      </c>
      <c r="L39" s="107" t="str">
        <f>_xlfn.UNICHAR(9733)&amp;_xlfn.UNICHAR(9733)</f>
        <v>★★</v>
      </c>
      <c r="M39" s="88"/>
      <c r="N39" s="81"/>
      <c r="O39" s="82"/>
      <c r="P39" s="82"/>
    </row>
    <row r="40" spans="1:16" ht="33.9" customHeight="1">
      <c r="A40" s="224" t="s">
        <v>148</v>
      </c>
      <c r="B40" s="225"/>
      <c r="C40" s="108">
        <f>SUM($F$26:$F$29)</f>
        <v>96.301593137254898</v>
      </c>
      <c r="D40" s="226" t="s">
        <v>149</v>
      </c>
      <c r="E40" s="227"/>
      <c r="F40" s="227"/>
      <c r="G40" s="228"/>
      <c r="H40" s="84"/>
      <c r="I40" s="30"/>
      <c r="J40" s="31" t="s">
        <v>91</v>
      </c>
      <c r="K40" s="31" t="s">
        <v>92</v>
      </c>
      <c r="L40" s="109" t="str">
        <f>_xlfn.UNICHAR(9888)</f>
        <v>⚠</v>
      </c>
      <c r="M40" s="84"/>
      <c r="N40" s="74"/>
      <c r="O40" s="75"/>
      <c r="P40" s="75"/>
    </row>
    <row r="41" spans="1:16" ht="43.5" customHeight="1">
      <c r="A41" s="229" t="s">
        <v>150</v>
      </c>
      <c r="B41" s="230"/>
      <c r="C41" s="106">
        <f>IFERROR($K$22/10*80+$J$22/10*20,0)</f>
        <v>0</v>
      </c>
      <c r="D41" s="231" t="s">
        <v>151</v>
      </c>
      <c r="E41" s="232"/>
      <c r="F41" s="232"/>
      <c r="G41" s="233"/>
      <c r="H41" s="88"/>
      <c r="I41" s="81"/>
      <c r="J41" s="81"/>
      <c r="K41" s="81"/>
      <c r="L41" s="110"/>
      <c r="M41" s="81"/>
      <c r="N41" s="81"/>
      <c r="O41" s="82"/>
      <c r="P41" s="82"/>
    </row>
    <row r="42" spans="1:16" ht="33.9" customHeight="1">
      <c r="A42" s="224" t="s">
        <v>152</v>
      </c>
      <c r="B42" s="225"/>
      <c r="C42" s="108">
        <f>C40*80%+C41*20%</f>
        <v>77.041274509803927</v>
      </c>
      <c r="D42" s="234" t="s">
        <v>153</v>
      </c>
      <c r="E42" s="235"/>
      <c r="F42" s="235"/>
      <c r="G42" s="236"/>
      <c r="H42" s="84"/>
      <c r="I42" s="74"/>
      <c r="J42" s="74"/>
      <c r="K42" s="74"/>
      <c r="L42" s="74"/>
      <c r="M42" s="74"/>
      <c r="N42" s="74"/>
      <c r="O42" s="75"/>
      <c r="P42" s="75"/>
    </row>
    <row r="43" spans="1:16" ht="42.75" customHeight="1">
      <c r="A43" s="237" t="s">
        <v>154</v>
      </c>
      <c r="B43" s="238"/>
      <c r="C43" s="111" t="str">
        <f>IF(C42&gt;=95,"Xuất sắc",IF(C42&gt;=90,"Tốt",IF(C42&gt;=80,"Khá",IF(C42&gt;=70,"Đạt","Chưa đạt"))))</f>
        <v>Đạt</v>
      </c>
      <c r="D43" s="237" t="str">
        <f>IF(C43="Xuất sắc",_xlfn.UNICHAR(9733)&amp;_xlfn.UNICHAR(9733)&amp;_xlfn.UNICHAR(9733)&amp;_xlfn.UNICHAR(9733)&amp;_xlfn.UNICHAR(9733),IF(C43="Tốt",_xlfn.UNICHAR(9733)&amp;_xlfn.UNICHAR(9733)&amp;_xlfn.UNICHAR(9733)&amp;_xlfn.UNICHAR(9733),IF(C43="Khá",_xlfn.UNICHAR(9733)&amp;_xlfn.UNICHAR(9733)&amp;_xlfn.UNICHAR(9733),IF(C43="Đạt",_xlfn.UNICHAR(9733)&amp;_xlfn.UNICHAR(9733),IF(C43="Chưa đạt",_xlfn.UNICHAR(10006),"")))))</f>
        <v>★★</v>
      </c>
      <c r="E43" s="239"/>
      <c r="F43" s="239"/>
      <c r="G43" s="238"/>
      <c r="H43" s="81"/>
      <c r="I43" s="81"/>
      <c r="J43" s="81"/>
      <c r="K43" s="81"/>
      <c r="L43" s="81"/>
      <c r="M43" s="81"/>
      <c r="N43" s="81"/>
      <c r="O43" s="82"/>
      <c r="P43" s="82"/>
    </row>
    <row r="44" spans="1:16" s="63" customFormat="1" ht="20.100000000000001" customHeight="1">
      <c r="A44" s="87"/>
      <c r="B44" s="82"/>
      <c r="C44" s="112"/>
      <c r="D44" s="87"/>
      <c r="E44" s="82"/>
      <c r="F44" s="82"/>
      <c r="G44" s="82"/>
      <c r="H44" s="81"/>
      <c r="I44" s="81"/>
      <c r="J44" s="81"/>
      <c r="K44" s="81"/>
      <c r="L44" s="81"/>
      <c r="M44" s="81"/>
      <c r="N44" s="81"/>
      <c r="O44" s="82"/>
      <c r="P44" s="82"/>
    </row>
    <row r="45" spans="1:16" ht="24.9" customHeight="1">
      <c r="A45" s="213" t="s">
        <v>155</v>
      </c>
      <c r="B45" s="214"/>
      <c r="C45" s="214"/>
      <c r="D45" s="214"/>
      <c r="E45" s="214"/>
      <c r="F45" s="214"/>
      <c r="G45" s="214"/>
      <c r="H45" s="214"/>
      <c r="I45" s="214"/>
      <c r="J45" s="214"/>
      <c r="K45" s="214"/>
      <c r="L45" s="214"/>
      <c r="M45" s="214"/>
      <c r="N45" s="214"/>
      <c r="O45" s="215"/>
      <c r="P45" s="70"/>
    </row>
    <row r="46" spans="1:16" ht="20.100000000000001" customHeight="1">
      <c r="A46" s="38" t="s">
        <v>17</v>
      </c>
      <c r="B46" s="38" t="s">
        <v>156</v>
      </c>
      <c r="C46" s="38" t="s">
        <v>157</v>
      </c>
      <c r="D46" s="38" t="s">
        <v>158</v>
      </c>
      <c r="E46" s="38" t="s">
        <v>159</v>
      </c>
      <c r="F46" s="38" t="s">
        <v>160</v>
      </c>
      <c r="G46" s="38" t="s">
        <v>161</v>
      </c>
      <c r="H46" s="38" t="s">
        <v>162</v>
      </c>
      <c r="I46" s="38" t="s">
        <v>163</v>
      </c>
      <c r="J46" s="38" t="s">
        <v>164</v>
      </c>
      <c r="K46" s="38" t="s">
        <v>165</v>
      </c>
      <c r="L46" s="38" t="s">
        <v>166</v>
      </c>
      <c r="M46" s="38" t="s">
        <v>167</v>
      </c>
      <c r="N46" s="38" t="s">
        <v>168</v>
      </c>
      <c r="O46" s="38" t="s">
        <v>169</v>
      </c>
      <c r="P46" s="70"/>
    </row>
    <row r="47" spans="1:16" ht="37.5" customHeight="1">
      <c r="A47" s="113">
        <v>1</v>
      </c>
      <c r="B47" s="114" t="s">
        <v>64</v>
      </c>
      <c r="C47" s="114" t="s">
        <v>65</v>
      </c>
      <c r="D47" s="113"/>
      <c r="E47" s="113"/>
      <c r="F47" s="115"/>
      <c r="G47" s="115"/>
      <c r="H47" s="115"/>
      <c r="I47" s="115"/>
      <c r="J47" s="115"/>
      <c r="K47" s="115"/>
      <c r="L47" s="115"/>
      <c r="M47" s="115"/>
      <c r="N47" s="115"/>
      <c r="O47" s="115"/>
      <c r="P47" s="70"/>
    </row>
    <row r="48" spans="1:16" ht="33" hidden="1" customHeight="1">
      <c r="A48" s="113"/>
      <c r="B48" s="114"/>
      <c r="C48" s="114"/>
      <c r="D48" s="113"/>
      <c r="E48" s="113"/>
      <c r="F48" s="116"/>
      <c r="G48" s="116"/>
      <c r="H48" s="116"/>
      <c r="I48" s="116"/>
      <c r="J48" s="116"/>
      <c r="K48" s="116"/>
      <c r="L48" s="116"/>
      <c r="M48" s="116"/>
      <c r="N48" s="116"/>
      <c r="O48" s="116"/>
      <c r="P48" s="70"/>
    </row>
    <row r="49" spans="1:16" ht="21.75" hidden="1" customHeight="1">
      <c r="A49" s="113">
        <v>3</v>
      </c>
      <c r="B49" s="114"/>
      <c r="C49" s="114"/>
      <c r="D49" s="113"/>
      <c r="E49" s="113"/>
      <c r="F49" s="116"/>
      <c r="G49" s="116"/>
      <c r="H49" s="116"/>
      <c r="I49" s="116"/>
      <c r="J49" s="116"/>
      <c r="K49" s="116"/>
      <c r="L49" s="116"/>
      <c r="M49" s="116"/>
      <c r="N49" s="116"/>
      <c r="O49" s="116"/>
      <c r="P49" s="70"/>
    </row>
    <row r="50" spans="1:16" ht="21.75" hidden="1" customHeight="1">
      <c r="A50" s="113">
        <v>4</v>
      </c>
      <c r="B50" s="114"/>
      <c r="C50" s="114"/>
      <c r="D50" s="113"/>
      <c r="E50" s="113"/>
      <c r="F50" s="116"/>
      <c r="G50" s="116"/>
      <c r="H50" s="116"/>
      <c r="I50" s="116"/>
      <c r="J50" s="116"/>
      <c r="K50" s="116"/>
      <c r="L50" s="116"/>
      <c r="M50" s="116"/>
      <c r="N50" s="116"/>
      <c r="O50" s="116"/>
      <c r="P50" s="70"/>
    </row>
    <row r="51" spans="1:16" ht="20.100000000000001" customHeight="1">
      <c r="A51" s="116"/>
      <c r="B51" s="116"/>
      <c r="C51" s="116"/>
      <c r="D51" s="116"/>
      <c r="E51" s="116"/>
      <c r="F51" s="116"/>
      <c r="G51" s="116"/>
      <c r="H51" s="116"/>
      <c r="I51" s="116"/>
      <c r="J51" s="116"/>
      <c r="K51" s="116"/>
      <c r="L51" s="116"/>
      <c r="M51" s="116"/>
      <c r="N51" s="116"/>
      <c r="O51" s="70"/>
      <c r="P51" s="70"/>
    </row>
    <row r="52" spans="1:16" ht="24.9" customHeight="1">
      <c r="A52" s="213" t="s">
        <v>170</v>
      </c>
      <c r="B52" s="214"/>
      <c r="C52" s="214"/>
      <c r="D52" s="214"/>
      <c r="E52" s="214"/>
      <c r="F52" s="214"/>
      <c r="G52" s="214"/>
      <c r="H52" s="214"/>
      <c r="I52" s="214"/>
      <c r="J52" s="214"/>
      <c r="K52" s="214"/>
      <c r="L52" s="214"/>
      <c r="M52" s="214"/>
      <c r="N52" s="214"/>
      <c r="O52" s="215"/>
      <c r="P52" s="70"/>
    </row>
    <row r="53" spans="1:16" ht="20.100000000000001" customHeight="1">
      <c r="A53" s="38" t="s">
        <v>17</v>
      </c>
      <c r="B53" s="38" t="s">
        <v>171</v>
      </c>
      <c r="C53" s="38" t="s">
        <v>172</v>
      </c>
      <c r="D53" s="216" t="s">
        <v>173</v>
      </c>
      <c r="E53" s="217"/>
      <c r="F53" s="217"/>
      <c r="G53" s="218"/>
      <c r="H53" s="216" t="s">
        <v>22</v>
      </c>
      <c r="I53" s="217"/>
      <c r="J53" s="217"/>
      <c r="K53" s="217"/>
      <c r="L53" s="217"/>
      <c r="M53" s="217"/>
      <c r="N53" s="217"/>
      <c r="O53" s="218"/>
      <c r="P53" s="70"/>
    </row>
    <row r="54" spans="1:16" ht="30.75" customHeight="1">
      <c r="A54" s="113">
        <v>1</v>
      </c>
      <c r="B54" s="159"/>
      <c r="C54" s="116"/>
      <c r="D54" s="221"/>
      <c r="E54" s="220"/>
      <c r="F54" s="220"/>
      <c r="G54" s="220"/>
      <c r="H54" s="221"/>
      <c r="I54" s="220"/>
      <c r="J54" s="220"/>
      <c r="K54" s="220"/>
      <c r="L54" s="220"/>
      <c r="M54" s="220"/>
      <c r="N54" s="220"/>
      <c r="O54" s="220"/>
      <c r="P54" s="70"/>
    </row>
    <row r="55" spans="1:16" ht="34.5" customHeight="1">
      <c r="A55" s="113">
        <v>2</v>
      </c>
      <c r="B55" s="117"/>
      <c r="C55" s="116"/>
      <c r="D55" s="221"/>
      <c r="E55" s="220"/>
      <c r="F55" s="220"/>
      <c r="G55" s="220"/>
      <c r="H55" s="221"/>
      <c r="I55" s="220"/>
      <c r="J55" s="220"/>
      <c r="K55" s="220"/>
      <c r="L55" s="220"/>
      <c r="M55" s="220"/>
      <c r="N55" s="220"/>
      <c r="O55" s="220"/>
      <c r="P55" s="70"/>
    </row>
    <row r="56" spans="1:16" ht="20.100000000000001" hidden="1" customHeight="1">
      <c r="A56" s="113">
        <v>3</v>
      </c>
      <c r="B56" s="116"/>
      <c r="C56" s="116"/>
      <c r="D56" s="221"/>
      <c r="E56" s="220"/>
      <c r="F56" s="220"/>
      <c r="G56" s="220"/>
      <c r="H56" s="221"/>
      <c r="I56" s="220"/>
      <c r="J56" s="220"/>
      <c r="K56" s="220"/>
      <c r="L56" s="220"/>
      <c r="M56" s="220"/>
      <c r="N56" s="220"/>
      <c r="O56" s="220"/>
      <c r="P56" s="70"/>
    </row>
    <row r="57" spans="1:16" ht="20.100000000000001" customHeight="1">
      <c r="A57" s="116"/>
      <c r="B57" s="116"/>
      <c r="C57" s="116"/>
      <c r="D57" s="116"/>
      <c r="E57" s="116"/>
      <c r="F57" s="116"/>
      <c r="G57" s="116"/>
      <c r="H57" s="116"/>
      <c r="I57" s="116"/>
      <c r="J57" s="116"/>
      <c r="K57" s="116"/>
      <c r="L57" s="116"/>
      <c r="M57" s="116"/>
      <c r="N57" s="116"/>
      <c r="O57" s="70"/>
      <c r="P57" s="70"/>
    </row>
    <row r="58" spans="1:16" ht="24.9" customHeight="1">
      <c r="A58" s="213" t="s">
        <v>174</v>
      </c>
      <c r="B58" s="214"/>
      <c r="C58" s="214"/>
      <c r="D58" s="214"/>
      <c r="E58" s="214"/>
      <c r="F58" s="214"/>
      <c r="G58" s="214"/>
      <c r="H58" s="214"/>
      <c r="I58" s="214"/>
      <c r="J58" s="214"/>
      <c r="K58" s="214"/>
      <c r="L58" s="214"/>
      <c r="M58" s="214"/>
      <c r="N58" s="214"/>
      <c r="O58" s="215"/>
      <c r="P58" s="70"/>
    </row>
    <row r="59" spans="1:16" ht="20.100000000000001" customHeight="1">
      <c r="A59" s="38" t="s">
        <v>175</v>
      </c>
      <c r="B59" s="216" t="s">
        <v>176</v>
      </c>
      <c r="C59" s="217"/>
      <c r="D59" s="217"/>
      <c r="E59" s="217"/>
      <c r="F59" s="217"/>
      <c r="G59" s="218"/>
      <c r="H59" s="216" t="s">
        <v>177</v>
      </c>
      <c r="I59" s="217"/>
      <c r="J59" s="217"/>
      <c r="K59" s="217"/>
      <c r="L59" s="217"/>
      <c r="M59" s="217"/>
      <c r="N59" s="217"/>
      <c r="O59" s="218"/>
      <c r="P59" s="70"/>
    </row>
    <row r="60" spans="1:16" ht="54.75" customHeight="1">
      <c r="A60" s="118" t="s">
        <v>178</v>
      </c>
      <c r="B60" s="219"/>
      <c r="C60" s="220"/>
      <c r="D60" s="220"/>
      <c r="E60" s="220"/>
      <c r="F60" s="220"/>
      <c r="G60" s="220"/>
      <c r="H60" s="221"/>
      <c r="I60" s="220"/>
      <c r="J60" s="220"/>
      <c r="K60" s="220"/>
      <c r="L60" s="220"/>
      <c r="M60" s="220"/>
      <c r="N60" s="220"/>
      <c r="O60" s="220"/>
      <c r="P60" s="70"/>
    </row>
    <row r="61" spans="1:16" ht="31.5" customHeight="1">
      <c r="A61" s="118" t="s">
        <v>179</v>
      </c>
      <c r="B61" s="221"/>
      <c r="C61" s="220"/>
      <c r="D61" s="220"/>
      <c r="E61" s="220"/>
      <c r="F61" s="220"/>
      <c r="G61" s="220"/>
      <c r="H61" s="221"/>
      <c r="I61" s="220"/>
      <c r="J61" s="220"/>
      <c r="K61" s="220"/>
      <c r="L61" s="220"/>
      <c r="M61" s="220"/>
      <c r="N61" s="220"/>
      <c r="O61" s="220"/>
      <c r="P61" s="70"/>
    </row>
    <row r="62" spans="1:16" ht="20.100000000000001" customHeight="1">
      <c r="A62" s="222" t="s">
        <v>180</v>
      </c>
      <c r="B62" s="223"/>
      <c r="C62" s="223"/>
      <c r="D62" s="223"/>
      <c r="E62" s="223"/>
      <c r="F62" s="223"/>
      <c r="G62" s="223"/>
      <c r="H62" s="222" t="s">
        <v>181</v>
      </c>
      <c r="I62" s="223"/>
      <c r="J62" s="223"/>
      <c r="K62" s="223"/>
      <c r="L62" s="223"/>
      <c r="M62" s="223"/>
      <c r="N62" s="223"/>
      <c r="O62" s="223"/>
      <c r="P62" s="70"/>
    </row>
    <row r="63" spans="1:16" ht="20.100000000000001" customHeight="1">
      <c r="A63" s="209" t="str">
        <f>IF(C6&lt;&gt;"",C6,"")</f>
        <v>Hoàng Quý Đạt</v>
      </c>
      <c r="B63" s="210"/>
      <c r="C63" s="210"/>
      <c r="D63" s="210"/>
      <c r="E63" s="210"/>
      <c r="F63" s="210"/>
      <c r="G63" s="211"/>
      <c r="H63" s="209" t="str">
        <f>IF(H7&lt;&gt;"",H7,"")</f>
        <v>Trần Hồng Sơn</v>
      </c>
      <c r="I63" s="210"/>
      <c r="J63" s="210"/>
      <c r="K63" s="210"/>
      <c r="L63" s="210"/>
      <c r="M63" s="210"/>
      <c r="N63" s="210"/>
      <c r="O63" s="211"/>
      <c r="P63" s="70"/>
    </row>
    <row r="64" spans="1:16" ht="20.100000000000001" customHeight="1">
      <c r="A64" s="116"/>
      <c r="B64" s="116"/>
      <c r="C64" s="116"/>
      <c r="D64" s="116"/>
      <c r="E64" s="116"/>
      <c r="F64" s="116"/>
      <c r="G64" s="116"/>
      <c r="H64" s="116"/>
      <c r="I64" s="116"/>
      <c r="J64" s="116"/>
      <c r="K64" s="116"/>
      <c r="L64" s="116"/>
      <c r="M64" s="116"/>
      <c r="N64" s="116"/>
      <c r="O64" s="70"/>
      <c r="P64" s="70"/>
    </row>
    <row r="65" spans="1:16" ht="20.100000000000001" customHeight="1">
      <c r="A65" s="116"/>
      <c r="B65" s="116"/>
      <c r="C65" s="116"/>
      <c r="D65" s="116"/>
      <c r="E65" s="116"/>
      <c r="F65" s="116"/>
      <c r="G65" s="116"/>
      <c r="H65" s="116"/>
      <c r="I65" s="116"/>
      <c r="J65" s="116"/>
      <c r="K65" s="116"/>
      <c r="L65" s="116"/>
      <c r="M65" s="116"/>
      <c r="N65" s="116"/>
      <c r="O65" s="70"/>
      <c r="P65" s="70"/>
    </row>
  </sheetData>
  <mergeCells count="101">
    <mergeCell ref="A5:O5"/>
    <mergeCell ref="A6:B6"/>
    <mergeCell ref="C6:D6"/>
    <mergeCell ref="E6:G6"/>
    <mergeCell ref="H6:J6"/>
    <mergeCell ref="K6:L6"/>
    <mergeCell ref="M6:O6"/>
    <mergeCell ref="A7:B7"/>
    <mergeCell ref="C7:D7"/>
    <mergeCell ref="E7:G7"/>
    <mergeCell ref="H7:J7"/>
    <mergeCell ref="K7:L7"/>
    <mergeCell ref="M7:O7"/>
    <mergeCell ref="A8:B8"/>
    <mergeCell ref="C8:D8"/>
    <mergeCell ref="E8:G8"/>
    <mergeCell ref="H8:J8"/>
    <mergeCell ref="A10:O10"/>
    <mergeCell ref="C11:F11"/>
    <mergeCell ref="G11:L11"/>
    <mergeCell ref="C12:F12"/>
    <mergeCell ref="G12:L12"/>
    <mergeCell ref="C13:F13"/>
    <mergeCell ref="G13:L13"/>
    <mergeCell ref="A14:L14"/>
    <mergeCell ref="A16:O16"/>
    <mergeCell ref="B17:C17"/>
    <mergeCell ref="D17:F17"/>
    <mergeCell ref="L17:O17"/>
    <mergeCell ref="B18:C18"/>
    <mergeCell ref="D18:F18"/>
    <mergeCell ref="L18:O18"/>
    <mergeCell ref="B19:C19"/>
    <mergeCell ref="D19:F19"/>
    <mergeCell ref="L19:O19"/>
    <mergeCell ref="B20:C20"/>
    <mergeCell ref="D20:F20"/>
    <mergeCell ref="L20:O20"/>
    <mergeCell ref="B21:C21"/>
    <mergeCell ref="D21:F21"/>
    <mergeCell ref="L21:O21"/>
    <mergeCell ref="A22:C22"/>
    <mergeCell ref="A24:O24"/>
    <mergeCell ref="A25:B25"/>
    <mergeCell ref="D25:E25"/>
    <mergeCell ref="F25:G25"/>
    <mergeCell ref="A26:B26"/>
    <mergeCell ref="D26:E26"/>
    <mergeCell ref="F26:G26"/>
    <mergeCell ref="A27:B27"/>
    <mergeCell ref="D27:E27"/>
    <mergeCell ref="F27:G27"/>
    <mergeCell ref="A28:B28"/>
    <mergeCell ref="D28:E28"/>
    <mergeCell ref="F28:G28"/>
    <mergeCell ref="A29:B29"/>
    <mergeCell ref="D29:E29"/>
    <mergeCell ref="F29:G29"/>
    <mergeCell ref="A30:B30"/>
    <mergeCell ref="D30:E30"/>
    <mergeCell ref="F30:G30"/>
    <mergeCell ref="D41:G41"/>
    <mergeCell ref="A42:B42"/>
    <mergeCell ref="D42:G42"/>
    <mergeCell ref="A43:B43"/>
    <mergeCell ref="D43:G43"/>
    <mergeCell ref="A45:O45"/>
    <mergeCell ref="A35:G35"/>
    <mergeCell ref="I35:L35"/>
    <mergeCell ref="A36:B36"/>
    <mergeCell ref="D36:G36"/>
    <mergeCell ref="A37:B37"/>
    <mergeCell ref="D37:G37"/>
    <mergeCell ref="A38:B38"/>
    <mergeCell ref="D38:G38"/>
    <mergeCell ref="A39:B39"/>
    <mergeCell ref="D39:G39"/>
    <mergeCell ref="A63:G63"/>
    <mergeCell ref="H63:O63"/>
    <mergeCell ref="A1:O2"/>
    <mergeCell ref="A58:O58"/>
    <mergeCell ref="B59:G59"/>
    <mergeCell ref="H59:O59"/>
    <mergeCell ref="B60:G60"/>
    <mergeCell ref="H60:O60"/>
    <mergeCell ref="B61:G61"/>
    <mergeCell ref="H61:O61"/>
    <mergeCell ref="A62:G62"/>
    <mergeCell ref="H62:O62"/>
    <mergeCell ref="A52:O52"/>
    <mergeCell ref="D53:G53"/>
    <mergeCell ref="H53:O53"/>
    <mergeCell ref="D54:G54"/>
    <mergeCell ref="H54:O54"/>
    <mergeCell ref="D55:G55"/>
    <mergeCell ref="H55:O55"/>
    <mergeCell ref="D56:G56"/>
    <mergeCell ref="H56:O56"/>
    <mergeCell ref="A40:B40"/>
    <mergeCell ref="D40:G40"/>
    <mergeCell ref="A41:B41"/>
  </mergeCells>
  <conditionalFormatting sqref="D43:G43">
    <cfRule type="expression" dxfId="19" priority="1">
      <formula>$C$43="Chưa đạt"</formula>
    </cfRule>
    <cfRule type="expression" dxfId="18" priority="2">
      <formula>$C$43&lt;&gt;"Chưa đạt"</formula>
    </cfRule>
  </conditionalFormatting>
  <conditionalFormatting sqref="C39:C42">
    <cfRule type="expression" dxfId="17" priority="3">
      <formula>AND(ISNUMBER(C39),C39&lt;70)</formula>
    </cfRule>
    <cfRule type="expression" dxfId="16" priority="4">
      <formula>AND(ISNUMBER(C39),C39&gt;=70,C39&lt;80)</formula>
    </cfRule>
    <cfRule type="expression" dxfId="15" priority="5">
      <formula>AND(ISNUMBER(C39),C39&gt;=80,C39&lt;90)</formula>
    </cfRule>
    <cfRule type="expression" dxfId="14" priority="6">
      <formula>AND(ISNUMBER(C39),C39&gt;=90,C39&lt;95)</formula>
    </cfRule>
    <cfRule type="expression" dxfId="13" priority="7">
      <formula>AND(ISNUMBER(C39),C39&gt;=95)</formula>
    </cfRule>
  </conditionalFormatting>
  <conditionalFormatting sqref="D26:D29">
    <cfRule type="expression" dxfId="12" priority="8">
      <formula>AND(ISNUMBER(D26),D26&lt;70)</formula>
    </cfRule>
    <cfRule type="expression" dxfId="11" priority="16">
      <formula>AND(ISNUMBER(D26),D26&gt;=95)</formula>
    </cfRule>
    <cfRule type="expression" dxfId="10" priority="17">
      <formula>AND(ISNUMBER(D26),D26&gt;=90,D26&lt;95)</formula>
    </cfRule>
    <cfRule type="expression" dxfId="9" priority="18">
      <formula>AND(ISNUMBER(D26),D26&gt;=80,D26&lt;90)</formula>
    </cfRule>
    <cfRule type="expression" dxfId="8" priority="19">
      <formula>AND(ISNUMBER(D26),D26&gt;=70,D26&lt;80)</formula>
    </cfRule>
  </conditionalFormatting>
  <dataValidations count="1">
    <dataValidation type="decimal" sqref="H18:I21" xr:uid="{00000000-0002-0000-0100-000000000000}">
      <formula1>0</formula1>
      <formula2>5</formula2>
    </dataValidation>
  </dataValidations>
  <pageMargins left="0.7" right="0.7" top="0.75" bottom="0.75" header="0.3" footer="0.3"/>
  <pageSetup paperSize="9" orientation="portrait" horizontalDpi="300"/>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2"/>
  <sheetViews>
    <sheetView topLeftCell="A13" workbookViewId="0">
      <selection activeCell="D12" sqref="D12"/>
    </sheetView>
  </sheetViews>
  <sheetFormatPr defaultColWidth="9" defaultRowHeight="16.8"/>
  <cols>
    <col min="1" max="1" width="21.77734375" style="35" customWidth="1"/>
    <col min="2" max="2" width="40.109375" style="35" customWidth="1"/>
    <col min="3" max="3" width="13" style="36" customWidth="1"/>
    <col min="4" max="4" width="79.33203125" style="35" customWidth="1"/>
    <col min="5" max="5" width="51.109375" style="36" customWidth="1"/>
    <col min="6" max="6" width="30.21875" style="35" customWidth="1"/>
    <col min="7" max="7" width="37.33203125" style="35" customWidth="1"/>
    <col min="8" max="8" width="9" style="35" customWidth="1"/>
    <col min="9" max="16384" width="9" style="35"/>
  </cols>
  <sheetData>
    <row r="1" spans="1:10" s="33" customFormat="1" ht="30.75" customHeight="1">
      <c r="A1" s="303" t="s">
        <v>182</v>
      </c>
      <c r="B1" s="304"/>
      <c r="C1" s="304"/>
      <c r="D1" s="304"/>
      <c r="E1" s="304"/>
    </row>
    <row r="2" spans="1:10" s="33" customFormat="1" ht="8.25" customHeight="1">
      <c r="C2" s="37"/>
      <c r="E2" s="37"/>
    </row>
    <row r="3" spans="1:10" ht="31.5" customHeight="1">
      <c r="A3" s="38" t="s">
        <v>183</v>
      </c>
      <c r="B3" s="38" t="s">
        <v>184</v>
      </c>
      <c r="C3" s="38" t="s">
        <v>185</v>
      </c>
      <c r="D3" s="38" t="s">
        <v>186</v>
      </c>
      <c r="E3" s="38" t="s">
        <v>187</v>
      </c>
    </row>
    <row r="4" spans="1:10" ht="30.75" customHeight="1">
      <c r="A4" s="185" t="s">
        <v>7</v>
      </c>
      <c r="B4" s="39" t="s">
        <v>27</v>
      </c>
      <c r="C4" s="39">
        <v>70</v>
      </c>
      <c r="D4" s="40" t="s">
        <v>188</v>
      </c>
      <c r="E4" s="41" t="s">
        <v>189</v>
      </c>
    </row>
    <row r="5" spans="1:10" ht="28.5" customHeight="1">
      <c r="A5" s="186"/>
      <c r="B5" s="39" t="s">
        <v>28</v>
      </c>
      <c r="C5" s="39">
        <v>30</v>
      </c>
      <c r="D5" s="42" t="s">
        <v>190</v>
      </c>
      <c r="E5" s="41" t="s">
        <v>191</v>
      </c>
    </row>
    <row r="6" spans="1:10" ht="57" customHeight="1">
      <c r="A6" s="187" t="s">
        <v>8</v>
      </c>
      <c r="B6" s="43" t="s">
        <v>29</v>
      </c>
      <c r="C6" s="43">
        <v>40</v>
      </c>
      <c r="D6" s="44" t="s">
        <v>192</v>
      </c>
      <c r="E6" s="41" t="s">
        <v>193</v>
      </c>
    </row>
    <row r="7" spans="1:10" ht="42.75" customHeight="1">
      <c r="A7" s="188"/>
      <c r="B7" s="43" t="s">
        <v>194</v>
      </c>
      <c r="C7" s="43">
        <v>40</v>
      </c>
      <c r="D7" s="44" t="s">
        <v>195</v>
      </c>
      <c r="E7" s="41" t="s">
        <v>196</v>
      </c>
    </row>
    <row r="8" spans="1:10" ht="71.25" customHeight="1">
      <c r="A8" s="188"/>
      <c r="B8" s="43" t="s">
        <v>197</v>
      </c>
      <c r="C8" s="43">
        <v>20</v>
      </c>
      <c r="D8" s="42" t="s">
        <v>198</v>
      </c>
      <c r="E8" s="41" t="s">
        <v>191</v>
      </c>
      <c r="H8" s="45"/>
      <c r="I8" s="45"/>
      <c r="J8" s="45"/>
    </row>
    <row r="9" spans="1:10" ht="42.75" customHeight="1">
      <c r="A9" s="204" t="s">
        <v>9</v>
      </c>
      <c r="B9" s="46" t="s">
        <v>32</v>
      </c>
      <c r="C9" s="46">
        <v>60</v>
      </c>
      <c r="D9" s="47" t="s">
        <v>199</v>
      </c>
      <c r="E9" s="41" t="s">
        <v>191</v>
      </c>
    </row>
    <row r="10" spans="1:10" ht="42.75" customHeight="1">
      <c r="A10" s="205"/>
      <c r="B10" s="46" t="s">
        <v>33</v>
      </c>
      <c r="C10" s="46">
        <v>20</v>
      </c>
      <c r="D10" s="42" t="s">
        <v>200</v>
      </c>
      <c r="E10" s="48" t="s">
        <v>201</v>
      </c>
    </row>
    <row r="11" spans="1:10" ht="42.75" customHeight="1">
      <c r="A11" s="205"/>
      <c r="B11" s="46" t="s">
        <v>34</v>
      </c>
      <c r="C11" s="46">
        <v>20</v>
      </c>
      <c r="D11" s="42" t="s">
        <v>202</v>
      </c>
      <c r="E11" s="41" t="s">
        <v>189</v>
      </c>
    </row>
    <row r="12" spans="1:10" ht="71.25" customHeight="1">
      <c r="A12" s="206" t="s">
        <v>10</v>
      </c>
      <c r="B12" s="49" t="s">
        <v>35</v>
      </c>
      <c r="C12" s="49">
        <v>25</v>
      </c>
      <c r="D12" s="44" t="s">
        <v>203</v>
      </c>
      <c r="E12" s="41" t="s">
        <v>191</v>
      </c>
      <c r="F12" s="50"/>
    </row>
    <row r="13" spans="1:10" ht="85.5" customHeight="1">
      <c r="A13" s="207"/>
      <c r="B13" s="49" t="s">
        <v>36</v>
      </c>
      <c r="C13" s="49">
        <v>25</v>
      </c>
      <c r="D13" s="44" t="s">
        <v>204</v>
      </c>
      <c r="E13" s="41" t="s">
        <v>191</v>
      </c>
    </row>
    <row r="14" spans="1:10" ht="99.6" customHeight="1">
      <c r="A14" s="307"/>
      <c r="B14" s="51" t="s">
        <v>37</v>
      </c>
      <c r="C14" s="49">
        <v>10</v>
      </c>
      <c r="D14" s="42" t="s">
        <v>205</v>
      </c>
      <c r="E14" s="52" t="s">
        <v>206</v>
      </c>
    </row>
    <row r="15" spans="1:10" ht="128.25" customHeight="1">
      <c r="A15" s="307"/>
      <c r="B15" s="51" t="s">
        <v>38</v>
      </c>
      <c r="C15" s="49">
        <v>20</v>
      </c>
      <c r="D15" s="42" t="s">
        <v>207</v>
      </c>
      <c r="E15" s="41" t="s">
        <v>208</v>
      </c>
    </row>
    <row r="16" spans="1:10" ht="128.25" customHeight="1">
      <c r="A16" s="307"/>
      <c r="B16" s="51" t="s">
        <v>39</v>
      </c>
      <c r="C16" s="49">
        <v>20</v>
      </c>
      <c r="D16" s="42" t="s">
        <v>209</v>
      </c>
      <c r="E16" s="41" t="s">
        <v>208</v>
      </c>
    </row>
    <row r="18" spans="1:6" s="33" customFormat="1" ht="30" customHeight="1">
      <c r="A18" s="303" t="s">
        <v>210</v>
      </c>
      <c r="B18" s="304"/>
      <c r="C18" s="304"/>
      <c r="D18" s="304"/>
      <c r="E18" s="304"/>
    </row>
    <row r="19" spans="1:6" s="33" customFormat="1" ht="6.75" customHeight="1">
      <c r="A19" s="53"/>
      <c r="B19" s="53"/>
      <c r="C19" s="53"/>
      <c r="D19" s="53"/>
      <c r="E19" s="53"/>
    </row>
    <row r="20" spans="1:6" s="33" customFormat="1" ht="16.5" customHeight="1">
      <c r="A20" s="54" t="s">
        <v>211</v>
      </c>
      <c r="B20" s="54" t="s">
        <v>212</v>
      </c>
      <c r="C20" s="54" t="s">
        <v>213</v>
      </c>
      <c r="D20" s="54" t="s">
        <v>214</v>
      </c>
      <c r="E20" s="54" t="s">
        <v>215</v>
      </c>
    </row>
    <row r="21" spans="1:6" s="33" customFormat="1" ht="30" customHeight="1">
      <c r="A21" s="55" t="s">
        <v>216</v>
      </c>
      <c r="B21" s="56" t="s">
        <v>217</v>
      </c>
      <c r="C21" s="57">
        <v>1</v>
      </c>
      <c r="D21" s="55"/>
      <c r="E21" s="308" t="s">
        <v>218</v>
      </c>
      <c r="F21" s="58"/>
    </row>
    <row r="22" spans="1:6" s="33" customFormat="1" ht="30" customHeight="1">
      <c r="A22" s="55" t="s">
        <v>219</v>
      </c>
      <c r="B22" s="56" t="s">
        <v>220</v>
      </c>
      <c r="C22" s="57">
        <v>2</v>
      </c>
      <c r="D22" s="55"/>
      <c r="E22" s="308"/>
      <c r="F22" s="59"/>
    </row>
    <row r="23" spans="1:6" s="33" customFormat="1" ht="30" customHeight="1">
      <c r="A23" s="55" t="s">
        <v>221</v>
      </c>
      <c r="B23" s="56" t="s">
        <v>222</v>
      </c>
      <c r="C23" s="57">
        <v>3</v>
      </c>
      <c r="D23" s="55"/>
      <c r="E23" s="308"/>
      <c r="F23" s="59"/>
    </row>
    <row r="24" spans="1:6" s="33" customFormat="1" ht="30" customHeight="1">
      <c r="A24" s="55" t="s">
        <v>223</v>
      </c>
      <c r="B24" s="56" t="s">
        <v>224</v>
      </c>
      <c r="C24" s="57">
        <v>4</v>
      </c>
      <c r="D24" s="55"/>
      <c r="E24" s="308"/>
      <c r="F24" s="59"/>
    </row>
    <row r="25" spans="1:6" s="33" customFormat="1" ht="30" customHeight="1">
      <c r="A25" s="55" t="s">
        <v>225</v>
      </c>
      <c r="B25" s="56" t="s">
        <v>226</v>
      </c>
      <c r="C25" s="57">
        <v>5</v>
      </c>
      <c r="D25" s="55"/>
      <c r="E25" s="308"/>
      <c r="F25" s="59"/>
    </row>
    <row r="26" spans="1:6" s="33" customFormat="1">
      <c r="C26" s="37"/>
      <c r="E26" s="37"/>
    </row>
    <row r="27" spans="1:6" ht="32.25" customHeight="1">
      <c r="A27" s="305" t="s">
        <v>227</v>
      </c>
      <c r="B27" s="306"/>
      <c r="C27" s="306"/>
      <c r="D27" s="306"/>
      <c r="E27" s="306"/>
    </row>
    <row r="28" spans="1:6" s="33" customFormat="1" ht="9" customHeight="1">
      <c r="A28" s="53"/>
      <c r="B28" s="53"/>
      <c r="C28" s="53"/>
      <c r="D28" s="53"/>
      <c r="E28" s="53"/>
    </row>
    <row r="29" spans="1:6" s="34" customFormat="1" ht="17.25" customHeight="1">
      <c r="A29" s="38" t="s">
        <v>228</v>
      </c>
      <c r="B29" s="38" t="s">
        <v>229</v>
      </c>
      <c r="C29" s="38"/>
      <c r="D29" s="38" t="s">
        <v>230</v>
      </c>
      <c r="E29" s="38" t="s">
        <v>231</v>
      </c>
    </row>
    <row r="30" spans="1:6" s="34" customFormat="1" ht="28.5" customHeight="1">
      <c r="A30" s="60" t="s">
        <v>232</v>
      </c>
      <c r="B30" s="42" t="s">
        <v>233</v>
      </c>
      <c r="C30" s="61"/>
      <c r="D30" s="62" t="s">
        <v>234</v>
      </c>
      <c r="E30" s="62" t="s">
        <v>235</v>
      </c>
    </row>
    <row r="31" spans="1:6" s="34" customFormat="1" ht="28.5" customHeight="1">
      <c r="A31" s="60" t="s">
        <v>236</v>
      </c>
      <c r="B31" s="42" t="s">
        <v>237</v>
      </c>
      <c r="C31" s="61"/>
      <c r="D31" s="62" t="s">
        <v>238</v>
      </c>
      <c r="E31" s="62" t="s">
        <v>239</v>
      </c>
    </row>
    <row r="32" spans="1:6" s="34" customFormat="1" ht="42.75" customHeight="1">
      <c r="A32" s="60" t="s">
        <v>240</v>
      </c>
      <c r="B32" s="42" t="s">
        <v>241</v>
      </c>
      <c r="C32" s="61"/>
      <c r="D32" s="62" t="s">
        <v>242</v>
      </c>
      <c r="E32" s="62" t="s">
        <v>243</v>
      </c>
    </row>
    <row r="33" spans="1:5" s="34" customFormat="1" ht="45.75" customHeight="1">
      <c r="A33" s="60" t="s">
        <v>244</v>
      </c>
      <c r="B33" s="42" t="s">
        <v>245</v>
      </c>
      <c r="C33" s="61"/>
      <c r="D33" s="62" t="s">
        <v>246</v>
      </c>
      <c r="E33" s="62" t="s">
        <v>247</v>
      </c>
    </row>
    <row r="34" spans="1:5" s="34" customFormat="1" ht="57" customHeight="1">
      <c r="A34" s="60" t="s">
        <v>248</v>
      </c>
      <c r="B34" s="42" t="s">
        <v>249</v>
      </c>
      <c r="C34" s="61"/>
      <c r="D34" s="62" t="s">
        <v>250</v>
      </c>
      <c r="E34" s="62" t="s">
        <v>251</v>
      </c>
    </row>
    <row r="35" spans="1:5" s="34" customFormat="1" ht="42.75" customHeight="1">
      <c r="A35" s="60" t="s">
        <v>252</v>
      </c>
      <c r="B35" s="42" t="s">
        <v>253</v>
      </c>
      <c r="C35" s="61"/>
      <c r="D35" s="62" t="s">
        <v>254</v>
      </c>
      <c r="E35" s="62" t="s">
        <v>255</v>
      </c>
    </row>
    <row r="36" spans="1:5" s="34" customFormat="1" ht="44.25" customHeight="1">
      <c r="A36" s="60" t="s">
        <v>256</v>
      </c>
      <c r="B36" s="42" t="s">
        <v>257</v>
      </c>
      <c r="C36" s="61"/>
      <c r="D36" s="62" t="s">
        <v>258</v>
      </c>
      <c r="E36" s="62" t="s">
        <v>259</v>
      </c>
    </row>
    <row r="37" spans="1:5" s="34" customFormat="1" ht="46.5" customHeight="1">
      <c r="A37" s="60" t="s">
        <v>260</v>
      </c>
      <c r="B37" s="42" t="s">
        <v>261</v>
      </c>
      <c r="C37" s="61"/>
      <c r="D37" s="62" t="s">
        <v>262</v>
      </c>
      <c r="E37" s="62" t="s">
        <v>263</v>
      </c>
    </row>
    <row r="38" spans="1:5" s="34" customFormat="1" ht="47.25" customHeight="1">
      <c r="A38" s="60" t="s">
        <v>264</v>
      </c>
      <c r="B38" s="42" t="s">
        <v>265</v>
      </c>
      <c r="C38" s="61"/>
      <c r="D38" s="62" t="s">
        <v>266</v>
      </c>
      <c r="E38" s="62" t="s">
        <v>267</v>
      </c>
    </row>
    <row r="39" spans="1:5" s="34" customFormat="1" ht="44.25" customHeight="1">
      <c r="A39" s="60" t="s">
        <v>268</v>
      </c>
      <c r="B39" s="42" t="s">
        <v>269</v>
      </c>
      <c r="C39" s="61"/>
      <c r="D39" s="62" t="s">
        <v>270</v>
      </c>
      <c r="E39" s="62" t="s">
        <v>271</v>
      </c>
    </row>
    <row r="40" spans="1:5" s="34" customFormat="1" ht="28.5" customHeight="1">
      <c r="A40" s="60" t="s">
        <v>272</v>
      </c>
      <c r="B40" s="42" t="s">
        <v>273</v>
      </c>
      <c r="C40" s="61"/>
      <c r="D40" s="62" t="s">
        <v>274</v>
      </c>
      <c r="E40" s="62" t="s">
        <v>275</v>
      </c>
    </row>
    <row r="41" spans="1:5" s="34" customFormat="1" ht="62.25" customHeight="1">
      <c r="A41" s="60" t="s">
        <v>276</v>
      </c>
      <c r="B41" s="42" t="s">
        <v>277</v>
      </c>
      <c r="C41" s="61"/>
      <c r="D41" s="62" t="s">
        <v>278</v>
      </c>
      <c r="E41" s="62" t="s">
        <v>279</v>
      </c>
    </row>
    <row r="42" spans="1:5" ht="45">
      <c r="A42" s="60" t="s">
        <v>280</v>
      </c>
      <c r="B42" s="42" t="s">
        <v>281</v>
      </c>
      <c r="C42" s="42"/>
      <c r="D42" s="42" t="s">
        <v>282</v>
      </c>
      <c r="E42" s="44" t="s">
        <v>283</v>
      </c>
    </row>
  </sheetData>
  <mergeCells count="8">
    <mergeCell ref="A1:E1"/>
    <mergeCell ref="A18:E18"/>
    <mergeCell ref="A27:E27"/>
    <mergeCell ref="A4:A5"/>
    <mergeCell ref="A6:A8"/>
    <mergeCell ref="A9:A11"/>
    <mergeCell ref="A12:A16"/>
    <mergeCell ref="E21:E25"/>
  </mergeCells>
  <pageMargins left="0.7" right="0.7" top="0.75" bottom="0.75" header="0.3" footer="0.3"/>
  <pageSetup paperSize="9" orientation="portrait" horizontalDpi="300"/>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5"/>
  <sheetViews>
    <sheetView topLeftCell="A16" workbookViewId="0">
      <selection activeCell="N14" sqref="N14"/>
    </sheetView>
  </sheetViews>
  <sheetFormatPr defaultColWidth="9" defaultRowHeight="14.4"/>
  <cols>
    <col min="1" max="1" width="14" customWidth="1"/>
    <col min="2" max="2" width="34" customWidth="1"/>
    <col min="3" max="7" width="18" customWidth="1"/>
  </cols>
  <sheetData>
    <row r="1" spans="1:7" ht="33.9" customHeight="1">
      <c r="A1" s="317" t="s">
        <v>284</v>
      </c>
      <c r="B1" s="318"/>
      <c r="C1" s="318"/>
      <c r="D1" s="318"/>
      <c r="E1" s="318"/>
      <c r="F1" s="318"/>
      <c r="G1" s="318"/>
    </row>
    <row r="3" spans="1:7" ht="30" customHeight="1">
      <c r="A3" s="2" t="s">
        <v>285</v>
      </c>
      <c r="B3" s="2" t="s">
        <v>23</v>
      </c>
      <c r="C3" s="2" t="s">
        <v>286</v>
      </c>
      <c r="D3" s="2" t="s">
        <v>287</v>
      </c>
      <c r="E3" s="2" t="s">
        <v>89</v>
      </c>
      <c r="F3" s="2" t="s">
        <v>288</v>
      </c>
      <c r="G3" s="2" t="s">
        <v>289</v>
      </c>
    </row>
    <row r="4" spans="1:7" s="1" customFormat="1" ht="20.100000000000001" customHeight="1">
      <c r="A4" s="3" t="s">
        <v>69</v>
      </c>
      <c r="B4" s="4" t="s">
        <v>290</v>
      </c>
      <c r="C4" s="5">
        <v>0.4</v>
      </c>
      <c r="D4" s="5">
        <v>0.5</v>
      </c>
      <c r="E4" s="6">
        <v>0</v>
      </c>
      <c r="F4" s="5">
        <v>0.1</v>
      </c>
      <c r="G4" s="7">
        <f t="shared" ref="G4:G11" si="0">SUM(C4:F4)</f>
        <v>1</v>
      </c>
    </row>
    <row r="5" spans="1:7" s="1" customFormat="1" ht="20.100000000000001" customHeight="1">
      <c r="A5" s="8" t="s">
        <v>291</v>
      </c>
      <c r="B5" s="9" t="s">
        <v>292</v>
      </c>
      <c r="C5" s="10">
        <v>0.4</v>
      </c>
      <c r="D5" s="10">
        <v>0.5</v>
      </c>
      <c r="E5" s="11">
        <v>0</v>
      </c>
      <c r="F5" s="10">
        <v>0.1</v>
      </c>
      <c r="G5" s="12">
        <f t="shared" si="0"/>
        <v>1</v>
      </c>
    </row>
    <row r="6" spans="1:7" s="1" customFormat="1" ht="20.100000000000001" customHeight="1">
      <c r="A6" s="13" t="s">
        <v>293</v>
      </c>
      <c r="B6" s="9" t="s">
        <v>294</v>
      </c>
      <c r="C6" s="10">
        <v>0.3</v>
      </c>
      <c r="D6" s="10">
        <v>0.4</v>
      </c>
      <c r="E6" s="10">
        <v>0.2</v>
      </c>
      <c r="F6" s="10">
        <v>0.1</v>
      </c>
      <c r="G6" s="12">
        <f t="shared" si="0"/>
        <v>1</v>
      </c>
    </row>
    <row r="7" spans="1:7" s="1" customFormat="1" ht="20.100000000000001" customHeight="1">
      <c r="A7" s="14" t="s">
        <v>295</v>
      </c>
      <c r="B7" s="9" t="s">
        <v>296</v>
      </c>
      <c r="C7" s="10">
        <v>0.3</v>
      </c>
      <c r="D7" s="10">
        <v>0.3</v>
      </c>
      <c r="E7" s="10">
        <v>0.3</v>
      </c>
      <c r="F7" s="10">
        <v>0.1</v>
      </c>
      <c r="G7" s="12">
        <f t="shared" si="0"/>
        <v>1</v>
      </c>
    </row>
    <row r="8" spans="1:7" s="1" customFormat="1" ht="20.100000000000001" customHeight="1">
      <c r="A8" s="15" t="s">
        <v>71</v>
      </c>
      <c r="B8" s="9" t="s">
        <v>297</v>
      </c>
      <c r="C8" s="10">
        <v>0.2</v>
      </c>
      <c r="D8" s="10">
        <v>0.1</v>
      </c>
      <c r="E8" s="10">
        <v>0.6</v>
      </c>
      <c r="F8" s="10">
        <v>0.1</v>
      </c>
      <c r="G8" s="12">
        <f t="shared" si="0"/>
        <v>1</v>
      </c>
    </row>
    <row r="9" spans="1:7" s="1" customFormat="1" ht="20.100000000000001" customHeight="1">
      <c r="A9" s="16" t="s">
        <v>298</v>
      </c>
      <c r="B9" s="9" t="s">
        <v>299</v>
      </c>
      <c r="C9" s="10">
        <v>0.5</v>
      </c>
      <c r="D9" s="10">
        <v>0.2</v>
      </c>
      <c r="E9" s="11">
        <v>0</v>
      </c>
      <c r="F9" s="10">
        <v>0.3</v>
      </c>
      <c r="G9" s="12">
        <f t="shared" si="0"/>
        <v>1</v>
      </c>
    </row>
    <row r="10" spans="1:7" s="1" customFormat="1" ht="20.100000000000001" customHeight="1">
      <c r="A10" s="17" t="s">
        <v>70</v>
      </c>
      <c r="B10" s="9" t="s">
        <v>300</v>
      </c>
      <c r="C10" s="10">
        <v>0.2</v>
      </c>
      <c r="D10" s="10">
        <v>0.2</v>
      </c>
      <c r="E10" s="11">
        <v>0</v>
      </c>
      <c r="F10" s="10">
        <v>0.6</v>
      </c>
      <c r="G10" s="12">
        <f t="shared" si="0"/>
        <v>1</v>
      </c>
    </row>
    <row r="11" spans="1:7" s="1" customFormat="1" ht="20.100000000000001" customHeight="1">
      <c r="A11" s="18" t="s">
        <v>301</v>
      </c>
      <c r="B11" s="19" t="s">
        <v>302</v>
      </c>
      <c r="C11" s="20">
        <v>0.2</v>
      </c>
      <c r="D11" s="20">
        <v>0.7</v>
      </c>
      <c r="E11" s="21">
        <v>0</v>
      </c>
      <c r="F11" s="20">
        <v>0.1</v>
      </c>
      <c r="G11" s="22">
        <f t="shared" si="0"/>
        <v>1</v>
      </c>
    </row>
    <row r="13" spans="1:7" ht="30" customHeight="1">
      <c r="A13" s="172" t="s">
        <v>73</v>
      </c>
      <c r="B13" s="173"/>
      <c r="C13" s="174"/>
    </row>
    <row r="14" spans="1:7" ht="30" customHeight="1">
      <c r="A14" s="23"/>
      <c r="B14" s="24" t="s">
        <v>75</v>
      </c>
      <c r="C14" s="25" t="s">
        <v>76</v>
      </c>
    </row>
    <row r="15" spans="1:7" ht="30" customHeight="1">
      <c r="A15" s="26"/>
      <c r="B15" s="27" t="s">
        <v>79</v>
      </c>
      <c r="C15" s="28" t="s">
        <v>80</v>
      </c>
    </row>
    <row r="16" spans="1:7" ht="30" customHeight="1">
      <c r="A16" s="26"/>
      <c r="B16" s="27" t="s">
        <v>83</v>
      </c>
      <c r="C16" s="29" t="s">
        <v>84</v>
      </c>
    </row>
    <row r="17" spans="1:8" ht="30" customHeight="1">
      <c r="A17" s="26"/>
      <c r="B17" s="27" t="s">
        <v>87</v>
      </c>
      <c r="C17" s="29" t="s">
        <v>88</v>
      </c>
    </row>
    <row r="18" spans="1:8" ht="30" customHeight="1">
      <c r="A18" s="30"/>
      <c r="B18" s="31" t="s">
        <v>91</v>
      </c>
      <c r="C18" s="32" t="s">
        <v>92</v>
      </c>
    </row>
    <row r="20" spans="1:8" ht="20.25" customHeight="1">
      <c r="A20" s="317" t="s">
        <v>303</v>
      </c>
      <c r="B20" s="318"/>
      <c r="C20" s="318"/>
      <c r="D20" s="318"/>
      <c r="E20" s="318"/>
      <c r="F20" s="318"/>
      <c r="G20" s="318"/>
      <c r="H20" s="318"/>
    </row>
    <row r="22" spans="1:8" ht="15" customHeight="1">
      <c r="A22" s="216" t="s">
        <v>304</v>
      </c>
      <c r="B22" s="217"/>
      <c r="C22" s="218"/>
      <c r="D22" s="216" t="s">
        <v>305</v>
      </c>
      <c r="E22" s="217"/>
      <c r="F22" s="217"/>
      <c r="G22" s="217"/>
      <c r="H22" s="218"/>
    </row>
    <row r="23" spans="1:8" ht="42.75" customHeight="1">
      <c r="A23" s="314" t="s">
        <v>306</v>
      </c>
      <c r="B23" s="312"/>
      <c r="C23" s="312"/>
      <c r="D23" s="312" t="s">
        <v>307</v>
      </c>
      <c r="E23" s="312"/>
      <c r="F23" s="312"/>
      <c r="G23" s="312"/>
      <c r="H23" s="312"/>
    </row>
    <row r="24" spans="1:8" ht="28.5" customHeight="1">
      <c r="A24" s="314" t="s">
        <v>308</v>
      </c>
      <c r="B24" s="312"/>
      <c r="C24" s="312"/>
      <c r="D24" s="311" t="s">
        <v>309</v>
      </c>
      <c r="E24" s="311"/>
      <c r="F24" s="311"/>
      <c r="G24" s="311"/>
      <c r="H24" s="311"/>
    </row>
    <row r="25" spans="1:8" ht="42.75" customHeight="1">
      <c r="A25" s="314" t="s">
        <v>310</v>
      </c>
      <c r="B25" s="312"/>
      <c r="C25" s="312"/>
      <c r="D25" s="311" t="s">
        <v>311</v>
      </c>
      <c r="E25" s="311"/>
      <c r="F25" s="311"/>
      <c r="G25" s="311"/>
      <c r="H25" s="311"/>
    </row>
    <row r="26" spans="1:8" ht="42.75" customHeight="1">
      <c r="A26" s="314" t="s">
        <v>312</v>
      </c>
      <c r="B26" s="312"/>
      <c r="C26" s="312"/>
      <c r="D26" s="311" t="s">
        <v>313</v>
      </c>
      <c r="E26" s="311"/>
      <c r="F26" s="311"/>
      <c r="G26" s="311"/>
      <c r="H26" s="311"/>
    </row>
    <row r="27" spans="1:8" ht="28.5" customHeight="1">
      <c r="A27" s="314" t="s">
        <v>314</v>
      </c>
      <c r="B27" s="312"/>
      <c r="C27" s="312"/>
      <c r="D27" s="312" t="s">
        <v>315</v>
      </c>
      <c r="E27" s="312"/>
      <c r="F27" s="312"/>
      <c r="G27" s="312"/>
      <c r="H27" s="312"/>
    </row>
    <row r="29" spans="1:8" ht="15" customHeight="1">
      <c r="A29" s="315" t="s">
        <v>316</v>
      </c>
      <c r="B29" s="316"/>
      <c r="C29" s="316"/>
      <c r="D29" s="316"/>
      <c r="E29" s="316"/>
      <c r="F29" s="316"/>
      <c r="G29" s="316"/>
      <c r="H29" s="316"/>
    </row>
    <row r="30" spans="1:8" ht="30" customHeight="1">
      <c r="A30" s="309" t="s">
        <v>317</v>
      </c>
      <c r="B30" s="310"/>
      <c r="C30" s="312" t="s">
        <v>318</v>
      </c>
      <c r="D30" s="312"/>
      <c r="E30" s="312"/>
      <c r="F30" s="312"/>
      <c r="G30" s="312"/>
      <c r="H30" s="312"/>
    </row>
    <row r="31" spans="1:8" ht="30" customHeight="1">
      <c r="A31" s="309" t="s">
        <v>319</v>
      </c>
      <c r="B31" s="310"/>
      <c r="C31" s="313" t="s">
        <v>320</v>
      </c>
      <c r="D31" s="313"/>
      <c r="E31" s="313"/>
      <c r="F31" s="313"/>
      <c r="G31" s="313"/>
      <c r="H31" s="313"/>
    </row>
    <row r="32" spans="1:8" ht="30" customHeight="1">
      <c r="A32" s="309" t="s">
        <v>321</v>
      </c>
      <c r="B32" s="310"/>
      <c r="C32" s="311" t="s">
        <v>322</v>
      </c>
      <c r="D32" s="311"/>
      <c r="E32" s="311"/>
      <c r="F32" s="311"/>
      <c r="G32" s="311"/>
      <c r="H32" s="311"/>
    </row>
    <row r="33" spans="1:8" ht="30" customHeight="1">
      <c r="A33" s="309" t="s">
        <v>323</v>
      </c>
      <c r="B33" s="310"/>
      <c r="C33" s="311" t="s">
        <v>324</v>
      </c>
      <c r="D33" s="311"/>
      <c r="E33" s="311"/>
      <c r="F33" s="311"/>
      <c r="G33" s="311"/>
      <c r="H33" s="311"/>
    </row>
    <row r="34" spans="1:8" ht="29.25" customHeight="1">
      <c r="A34" s="309" t="s">
        <v>13</v>
      </c>
      <c r="B34" s="310"/>
      <c r="C34" s="311" t="s">
        <v>325</v>
      </c>
      <c r="D34" s="311"/>
      <c r="E34" s="311"/>
      <c r="F34" s="311"/>
      <c r="G34" s="311"/>
      <c r="H34" s="311"/>
    </row>
    <row r="35" spans="1:8" ht="30" customHeight="1">
      <c r="A35" s="309" t="s">
        <v>326</v>
      </c>
      <c r="B35" s="310"/>
      <c r="C35" s="312" t="s">
        <v>327</v>
      </c>
      <c r="D35" s="312"/>
      <c r="E35" s="312"/>
      <c r="F35" s="312"/>
      <c r="G35" s="312"/>
      <c r="H35" s="312"/>
    </row>
  </sheetData>
  <mergeCells count="28">
    <mergeCell ref="A1:G1"/>
    <mergeCell ref="A13:C13"/>
    <mergeCell ref="A20:H20"/>
    <mergeCell ref="A22:C22"/>
    <mergeCell ref="D22:H22"/>
    <mergeCell ref="A23:C23"/>
    <mergeCell ref="D23:H23"/>
    <mergeCell ref="A24:C24"/>
    <mergeCell ref="D24:H24"/>
    <mergeCell ref="A25:C25"/>
    <mergeCell ref="D25:H25"/>
    <mergeCell ref="A26:C26"/>
    <mergeCell ref="D26:H26"/>
    <mergeCell ref="A27:C27"/>
    <mergeCell ref="D27:H27"/>
    <mergeCell ref="A29:H29"/>
    <mergeCell ref="A30:B30"/>
    <mergeCell ref="C30:H30"/>
    <mergeCell ref="A31:B31"/>
    <mergeCell ref="C31:H31"/>
    <mergeCell ref="A32:B32"/>
    <mergeCell ref="C32:H32"/>
    <mergeCell ref="A33:B33"/>
    <mergeCell ref="C33:H33"/>
    <mergeCell ref="A34:B34"/>
    <mergeCell ref="C34:H34"/>
    <mergeCell ref="A35:B35"/>
    <mergeCell ref="C35:H35"/>
  </mergeCells>
  <conditionalFormatting sqref="G4:G11">
    <cfRule type="expression" dxfId="7" priority="1">
      <formula>ABS(G4-1)&gt;0.0001</formula>
    </cfRule>
  </conditionalFormatting>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01. Tổng task</vt:lpstr>
      <vt:lpstr>02. Tổng KPI</vt:lpstr>
      <vt:lpstr>Diễn giải 1</vt:lpstr>
      <vt:lpstr>Diễn giải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Con Trai Tran</cp:lastModifiedBy>
  <dcterms:created xsi:type="dcterms:W3CDTF">2026-07-23T06:40:00Z</dcterms:created>
  <dcterms:modified xsi:type="dcterms:W3CDTF">2026-10-08T07:36:08Z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FFD4A99503E349FDB07258439226B1E8_12</vt:lpwstr>
  </property>
  <property fmtid="{D5CDD505-2E9C-101B-9397-08002B2CF9AE}" pid="3" name="KSOProductBuildVer">
    <vt:lpwstr>1033-12.1.0.25242</vt:lpwstr>
  </property>
  <property fmtid="{D5CDD505-2E9C-101B-9397-08002B2CF9AE}" pid="4" name="CalculationRule">
    <vt:i4>0</vt:i4>
  </property>
</Properties>
</file>