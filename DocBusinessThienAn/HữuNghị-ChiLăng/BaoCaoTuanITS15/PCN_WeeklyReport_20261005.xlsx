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C:\Users\This PC\OneDrive\Máy tính\"/>
    </mc:Choice>
  </mc:AlternateContent>
  <xr:revisionPtr revIDLastSave="0" documentId="13_ncr:1_{775B4738-0EE7-4479-BF2F-28C9555B1104}" xr6:coauthVersionLast="47" xr6:coauthVersionMax="47" xr10:uidLastSave="{00000000-0000-0000-0000-000000000000}"/>
  <bookViews>
    <workbookView xWindow="-120" yWindow="-120" windowWidth="29040" windowHeight="15720" tabRatio="348" xr2:uid="{00000000-000D-0000-FFFF-FFFF00000000}"/>
  </bookViews>
  <sheets>
    <sheet name="Weekly Report" sheetId="7" r:id="rId1"/>
  </sheets>
  <definedNames>
    <definedName name="_xlnm._FilterDatabase" localSheetId="0" hidden="1">'Weekly Report'!$A$7:$O$34</definedName>
    <definedName name="_xlnm.Print_Titles" localSheetId="0">'Weekly Report'!$7:$7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7" l="1"/>
  <c r="A16" i="7" s="1"/>
  <c r="A24" i="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Table1" description="Connection to the 'Table1' query in the workbook." type="5" refreshedVersion="2"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<sst xmlns="http://schemas.openxmlformats.org/spreadsheetml/2006/main" count="96" uniqueCount="47">
  <si>
    <r>
      <rPr>
        <b/>
        <sz val="12"/>
        <color rgb="FF002060"/>
        <rFont val="Times New Roman"/>
        <charset val="134"/>
      </rPr>
      <t xml:space="preserve">CÔNG TY CỔ PHẦN ĐẦU TƯ CÔNG NGHỆ </t>
    </r>
    <r>
      <rPr>
        <b/>
        <sz val="12"/>
        <color rgb="FFFF0000"/>
        <rFont val="Times New Roman"/>
        <charset val="134"/>
      </rPr>
      <t>THIÊN ÂN</t>
    </r>
    <r>
      <rPr>
        <b/>
        <sz val="12"/>
        <color rgb="FF002060"/>
        <rFont val="Times New Roman"/>
        <charset val="134"/>
      </rPr>
      <t xml:space="preserve">
</t>
    </r>
  </si>
  <si>
    <r>
      <rPr>
        <b/>
        <sz val="14"/>
        <rFont val="Times New Roman"/>
        <charset val="134"/>
      </rPr>
      <t xml:space="preserve">EMPLOYEE NAME - WEEKLY REPORT </t>
    </r>
    <r>
      <rPr>
        <b/>
        <sz val="14"/>
        <color rgb="FF0000FF"/>
        <rFont val="Times New Roman"/>
        <charset val="134"/>
      </rPr>
      <t>OF THE DEPLOY DEPARTMENT</t>
    </r>
  </si>
  <si>
    <t>Thời gian: 
26.03.30 - 26.04.04</t>
  </si>
  <si>
    <t>Chú thích:</t>
  </si>
  <si>
    <r>
      <rPr>
        <i/>
        <sz val="10"/>
        <color rgb="FFFF0000"/>
        <rFont val="Times New Roman"/>
        <charset val="134"/>
      </rPr>
      <t>"Đỏ"</t>
    </r>
    <r>
      <rPr>
        <i/>
        <sz val="10"/>
        <color rgb="FF0000FF"/>
        <rFont val="Times New Roman"/>
        <charset val="134"/>
      </rPr>
      <t xml:space="preserve"> - </t>
    </r>
    <r>
      <rPr>
        <i/>
        <sz val="10"/>
        <color theme="1"/>
        <rFont val="Times New Roman"/>
        <charset val="134"/>
      </rPr>
      <t>thời gian deadline dự kiến</t>
    </r>
  </si>
  <si>
    <r>
      <rPr>
        <i/>
        <sz val="10"/>
        <color rgb="FF0000FF"/>
        <rFont val="Times New Roman"/>
        <charset val="134"/>
      </rPr>
      <t>"Xanh dương"</t>
    </r>
    <r>
      <rPr>
        <i/>
        <sz val="10"/>
        <color theme="1"/>
        <rFont val="Times New Roman"/>
        <charset val="134"/>
      </rPr>
      <t xml:space="preserve"> - Công việc đã hoàn thành</t>
    </r>
  </si>
  <si>
    <t>N.o</t>
  </si>
  <si>
    <t>Informations of project</t>
  </si>
  <si>
    <t>Project</t>
  </si>
  <si>
    <t>Task name</t>
  </si>
  <si>
    <t>Assignment</t>
  </si>
  <si>
    <t>% complete</t>
  </si>
  <si>
    <t>Assign Day</t>
  </si>
  <si>
    <t>Start Day</t>
  </si>
  <si>
    <t>Expected day</t>
  </si>
  <si>
    <t>Finish day</t>
  </si>
  <si>
    <t>Status</t>
  </si>
  <si>
    <t>Note</t>
  </si>
  <si>
    <t>Base</t>
  </si>
  <si>
    <t>Project  name</t>
  </si>
  <si>
    <t>Cầu Đồng Nai (DNC)</t>
  </si>
  <si>
    <t xml:space="preserve"> - </t>
  </si>
  <si>
    <t>Xây dựng chương trình đồng bộ dữ liệu thu phí MTC đến TCĐB:
1. Xây dựng tài liệu
2. Xây dựng phần mềm
3. Kiểm thử phần mềm</t>
  </si>
  <si>
    <t>QA, Sơn</t>
  </si>
  <si>
    <t xml:space="preserve"> -</t>
  </si>
  <si>
    <t>Section:</t>
  </si>
  <si>
    <t>Cập nhật các tính năng soát vé làn miễn phí:
1. Thay thế I/O Box cũ bằng PLC S7-1200
2. Áp dụng soát vé tháng</t>
  </si>
  <si>
    <t>Project  manager:</t>
  </si>
  <si>
    <t>Tống Thanh Thương</t>
  </si>
  <si>
    <t>Investor/ Client:</t>
  </si>
  <si>
    <t>Contract:</t>
  </si>
  <si>
    <t>Appendix of contract:</t>
  </si>
  <si>
    <t>Time of deployment:</t>
  </si>
  <si>
    <t>Deadline:</t>
  </si>
  <si>
    <t>TTP Cà Ná</t>
  </si>
  <si>
    <t>Xây dựng chương trình đồng bộ dữ liệu thu phí MTC đến TCĐB</t>
  </si>
  <si>
    <t>TTP DT 741</t>
  </si>
  <si>
    <t>Thêm 1 báo cáo thống kê  thống kê thẻ trừ dần</t>
  </si>
  <si>
    <t>Hỗ trợ kiểm tra số tiền trừ không khớp thực tế</t>
  </si>
  <si>
    <t>ITS010</t>
  </si>
  <si>
    <t>Đạt</t>
  </si>
  <si>
    <t>https://wework.base.vn/mytasks?task=9981714</t>
  </si>
  <si>
    <t>https://wework.base.vn/mytasks</t>
  </si>
  <si>
    <t>Công việc trong tuần: 
26.10.05 - 26.10.10</t>
  </si>
  <si>
    <t>Công việc trong tuần tiếp theo: 
26.10.12 - 26.10.17</t>
  </si>
  <si>
    <t>Phân hệ Chia sẻ Dữ liệu (ShareData - ESHARE):
- Hoàn tất xử lý và nghiệm thu toàn bộ danh sách lỗi kiểm thử F16 (Issue 1, 2, 14, 16, 17, 20, 22, 24, 26, 27, 28) trên sheet Issue Tracking: chuẩn hóa ràng buộc chu kỳ gửi (tối đa 86.400s), khóa mã đối tác khi sửa kèm tooltip cảnh báo, chuẩn hóa thông báo dữ liệu nguồn rỗng, kiểm soát giới hạn thời gian thực và ẩn header nhóm trường.
- Hoàn thiện tích hợp luồng nhật ký tiến trình cha - con (ParentId, StepNo/StepNbr) xuyên suốt giữa Backend Worker và WebAPI; xây dựng endpoint GetSteps phục vụ hiển thị chi tiết tiến trình.
- Hoàn thiện giao diện Modal chi tiết nhật ký trên WebVue (activityDetailDialog) với cây tiến trình 2 bước trực quan (ElSteps dọc); bổ sung bộ test tự động E2E và test tích hợp toàn trình luồng gửi dữ liệu.
- Đồng bộ múi giờ hệ thống Scheduler (Hangfire / Quartz) và tái cấu trúc chuẩn hóa các file helper/hook/utils.
Phân hệ Tường màn hình (VideoWall):
- Hoàn thành Backend Service giao tiếp thiết bị điều khiển phần cứng Hikvision (ISAPI Controller DS-C66S / DS-C30S) qua NATS, đảm bảo cách ly hoàn toàn lỗi và chống blocking WebAPI.
- Hoàn thiện tính năng phân quyền màn hình (User/Org), cấu trúc cây Zone, quản lý Scene và bố cục ma trận hiển thị.
- Tiến hành audit kỹ thuật 9 hạng mục post-implementation (chống mock NATS, cơ chế targeted kill tiến trình WPF, bảo vệ kết nối HTTP digest và circuit breaker).
Chuẩn hóa Kiến trúc &amp; Tài liệu Tuyến Hữu Nghị - Chi Lăng:
- Tái cấu trúc toàn bộ kho tài liệu DocBusinessThienAn theo mô hình chuẩn hóa 3 cấp (Option A); tích hợp trạm khí tượng WOS vào tuyến Hữu Nghị - Chi Lăng và lập kế hoạch tổng thể Wos_MasterPlan.md.
- Thống nhất nguyên tắc mỗi phân hệ có DUY NHẤT 1 MasterPlan sống, tích hợp toàn diện kế hoạch và review.</t>
  </si>
  <si>
    <t>Phân hệ Chia sẻ Dữ liệu (ShareData):
- Tiếp tục theo dõi, giám sát độ ổn định và hiệu năng của ShareDataWorker trên môi trường Staging khi vận hành đa đối tác với tải dữ liệu lớn; kiểm soát cơ chế gửi nối đuôi và gửi khi có dữ liệu mới.
- Phối hợp cùng đội ngũ kiểm thử (Tester/QA) hỗ trợ kiểm thử tích hợp liên thông dữ liệu và xử lý các phản hồi phát sinh sau đợt cập nhật F16.
Phân hệ Tường màn hình (VideoWall):
- Phối hợp với đội ngũ hiện trường kiểm thử kết nối trực tiếp với thiết bị phần cứng thật Controller Hikvision tại phòng LAB / trung tâm điều hành.
- Tinh chỉnh các thao tác điều khiển chuyển Scene, phân chia cửa sổ và tối ưu độ trễ phản hồi trạng thái thiết bị qua NATS.
Phân hệ Trạm Thời tiết &amp; Khí tượng (WOS):
- Khởi động triển khai Phase 1 theo Wos_MasterPlan: thiết kế Entity CSDL WosStation, mở rộng bảng TmsWeather và xây dựng WebAPI CRUD quản lý cấu hình trạm.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</si>
</sst>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0"/>
      <color rgb="FF000000"/>
      <name val="Arial"/>
      <charset val="134"/>
    </font>
    <font>
      <i/>
      <sz val="10"/>
      <color rgb="FF0000FF"/>
      <name val="Times New Roman"/>
      <charset val="134"/>
    </font>
    <font>
      <b/>
      <sz val="10"/>
      <name val="Times New Roman"/>
      <charset val="134"/>
    </font>
    <font>
      <sz val="10"/>
      <name val="Times New Roman"/>
      <charset val="134"/>
    </font>
    <font>
      <b/>
      <sz val="12"/>
      <name val="Times New Roman"/>
      <charset val="134"/>
    </font>
    <font>
      <b/>
      <sz val="14"/>
      <name val="Times New Roman"/>
      <charset val="134"/>
    </font>
    <font>
      <i/>
      <sz val="10"/>
      <color theme="1"/>
      <name val="Times New Roman"/>
      <charset val="134"/>
    </font>
    <font>
      <sz val="10"/>
      <color theme="1"/>
      <name val="Times New Roman"/>
      <charset val="134"/>
    </font>
    <font>
      <b/>
      <sz val="10"/>
      <color rgb="FF0000FF"/>
      <name val="Times New Roman"/>
      <charset val="134"/>
    </font>
    <font>
      <sz val="10"/>
      <color rgb="FF0000FF"/>
      <name val="Times New Roman"/>
      <charset val="134"/>
    </font>
    <font>
      <sz val="10"/>
      <color rgb="FF3A3A3A"/>
      <name val="Times New Roman"/>
      <charset val="134"/>
    </font>
    <font>
      <u/>
      <sz val="10"/>
      <color theme="10"/>
      <name val="Arial"/>
      <charset val="134"/>
    </font>
    <font>
      <sz val="11"/>
      <color rgb="FF0000FF"/>
      <name val="Times New Roman"/>
      <charset val="134"/>
    </font>
    <font>
      <sz val="11"/>
      <color theme="1"/>
      <name val="Arial"/>
      <charset val="134"/>
      <scheme val="minor"/>
    </font>
    <font>
      <sz val="10"/>
      <name val="Arial"/>
      <charset val="134"/>
    </font>
    <font>
      <i/>
      <sz val="10"/>
      <color rgb="FFFF0000"/>
      <name val="Times New Roman"/>
      <charset val="134"/>
    </font>
    <font>
      <b/>
      <sz val="12"/>
      <color rgb="FF002060"/>
      <name val="Times New Roman"/>
      <charset val="134"/>
    </font>
    <font>
      <b/>
      <sz val="12"/>
      <color rgb="FFFF0000"/>
      <name val="Times New Roman"/>
      <charset val="134"/>
    </font>
    <font>
      <b/>
      <sz val="14"/>
      <color rgb="FF0000FF"/>
      <name val="Times New Roman"/>
      <charset val="134"/>
    </font>
    <font>
      <sz val="10"/>
      <color rgb="FF000000"/>
      <name val="Arial"/>
      <charset val="134"/>
    </font>
  </fonts>
  <fills count="5">
    <fill>
      <patternFill patternType="none"/>
    </fill>
    <fill>
      <patternFill patternType="gray125"/>
    </fill>
    <fill>
      <patternFill patternType="solid">
        <fgColor theme="0"/>
        <bgColor indexed="64"/>
      </patternFill>
    </fill>
    <fill>
      <patternFill patternType="solid">
        <fgColor theme="0" tint="-0.14996795556505021"/>
        <bgColor indexed="64"/>
      </patternFill>
    </fill>
    <fill>
      <patternFill patternType="solid">
        <fgColor rgb="FFD9D9D9"/>
        <bgColor rgb="FF000000"/>
      </patternFill>
    </fill>
  </fills>
  <borders count="17">
    <border>
      <left/>
      <right/>
      <top/>
      <bottom/>
      <diagonal/>
    </border>
    <border>
      <left/>
      <right/>
      <top/>
      <bottom style="double">
        <color auto="1"/>
      </bottom>
      <diagonal/>
    </border>
    <border>
      <left/>
      <right/>
      <top style="double">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style="thin">
        <color auto="1"/>
      </left>
      <right style="thin">
        <color auto="1"/>
      </right>
      <top/>
      <bottom/>
      <diagonal/>
    </border>
    <border>
      <left style="thin">
        <color auto="1"/>
      </left>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bottom/>
      <diagonal/>
    </border>
  </borders>
  <cellStyleXfs count="7">
    <xf numFmtId="0" fontId="0" fillId="0" borderId="0"/>
    <xf numFmtId="0" fontId="11" fillId="0" borderId="0" applyNumberFormat="0" applyFill="0" applyBorder="0" applyAlignment="0" applyProtection="0"/>
    <xf numFmtId="0" fontId="13" fillId="0" borderId="0"/>
    <xf numFmtId="0" fontId="13" fillId="0" borderId="0"/>
    <xf numFmtId="0" fontId="13" fillId="0" borderId="0"/>
    <xf numFmtId="0" fontId="19" fillId="0" borderId="0"/>
    <xf numFmtId="0" fontId="14" fillId="0" borderId="0"/>
  </cellStyleXfs>
  <cellXfs count="94">
    <xf numFmtId="0" fontId="0" fillId="0" borderId="0" xfId="0"/>
    <xf numFmtId="0" fontId="1" fillId="0" borderId="0" xfId="6" applyFont="1" applyAlignment="1">
      <alignment horizontal="left" vertical="top" wrapText="1"/>
    </xf>
    <xf numFmtId="0" fontId="2" fillId="0" borderId="0" xfId="6" applyFont="1" applyAlignment="1">
      <alignment horizontal="center" vertical="center" wrapText="1"/>
    </xf>
    <xf numFmtId="0" fontId="2" fillId="0" borderId="0" xfId="6" applyFont="1" applyAlignment="1">
      <alignment horizontal="left" vertical="center" wrapText="1"/>
    </xf>
    <xf numFmtId="0" fontId="3" fillId="0" borderId="0" xfId="6" applyFont="1" applyAlignment="1">
      <alignment horizontal="left" vertical="center" wrapText="1"/>
    </xf>
    <xf numFmtId="0" fontId="3" fillId="0" borderId="0" xfId="6" applyFont="1" applyAlignment="1">
      <alignment horizontal="center" vertical="center" wrapText="1"/>
    </xf>
    <xf numFmtId="0" fontId="3" fillId="2" borderId="0" xfId="6" applyFont="1" applyFill="1" applyAlignment="1">
      <alignment horizontal="center" vertical="center" wrapText="1"/>
    </xf>
    <xf numFmtId="0" fontId="5" fillId="2" borderId="0" xfId="6" applyFont="1" applyFill="1" applyAlignment="1">
      <alignment horizontal="center" wrapText="1"/>
    </xf>
    <xf numFmtId="0" fontId="5" fillId="2" borderId="0" xfId="6" applyFont="1" applyFill="1" applyAlignment="1">
      <alignment horizontal="center" vertical="center" wrapText="1"/>
    </xf>
    <xf numFmtId="0" fontId="6" fillId="2" borderId="0" xfId="6" applyFont="1" applyFill="1" applyAlignment="1">
      <alignment horizontal="left" vertical="top" wrapText="1"/>
    </xf>
    <xf numFmtId="0" fontId="7" fillId="2" borderId="0" xfId="6" applyFont="1" applyFill="1" applyAlignment="1">
      <alignment horizontal="left" vertical="top" wrapText="1"/>
    </xf>
    <xf numFmtId="0" fontId="1" fillId="2" borderId="0" xfId="6" applyFont="1" applyFill="1" applyAlignment="1">
      <alignment horizontal="right" vertical="top" wrapText="1"/>
    </xf>
    <xf numFmtId="0" fontId="1" fillId="0" borderId="0" xfId="6" applyFont="1" applyAlignment="1">
      <alignment horizontal="center" vertical="top" wrapText="1"/>
    </xf>
    <xf numFmtId="0" fontId="2" fillId="3" borderId="3" xfId="6" applyFont="1" applyFill="1" applyBorder="1" applyAlignment="1">
      <alignment horizontal="center" vertical="center" wrapText="1"/>
    </xf>
    <xf numFmtId="0" fontId="2" fillId="3" borderId="6" xfId="6" applyFont="1" applyFill="1" applyBorder="1" applyAlignment="1">
      <alignment horizontal="center" vertical="center" wrapText="1"/>
    </xf>
    <xf numFmtId="0" fontId="2" fillId="3" borderId="3" xfId="6" applyFont="1" applyFill="1" applyBorder="1" applyAlignment="1">
      <alignment vertical="center" wrapText="1"/>
    </xf>
    <xf numFmtId="0" fontId="2" fillId="4" borderId="3" xfId="6" applyFont="1" applyFill="1" applyBorder="1" applyAlignment="1">
      <alignment horizontal="center" vertical="center" wrapText="1"/>
    </xf>
    <xf numFmtId="0" fontId="2" fillId="3" borderId="3" xfId="0" applyFont="1" applyFill="1" applyBorder="1" applyAlignment="1">
      <alignment horizontal="center" vertical="center" wrapText="1"/>
    </xf>
    <xf numFmtId="0" fontId="8" fillId="2" borderId="9" xfId="6" applyFont="1" applyFill="1" applyBorder="1" applyAlignment="1">
      <alignment horizontal="left" vertical="top" wrapText="1"/>
    </xf>
    <xf numFmtId="0" fontId="9" fillId="2" borderId="4" xfId="6" applyFont="1" applyFill="1" applyBorder="1" applyAlignment="1">
      <alignment horizontal="right" vertical="top" wrapText="1"/>
    </xf>
    <xf numFmtId="0" fontId="9" fillId="2" borderId="5" xfId="6" applyFont="1" applyFill="1" applyBorder="1" applyAlignment="1">
      <alignment horizontal="right" vertical="top" wrapText="1"/>
    </xf>
    <xf numFmtId="0" fontId="9" fillId="2" borderId="6" xfId="6" applyFont="1" applyFill="1" applyBorder="1" applyAlignment="1">
      <alignment horizontal="left" vertical="top" wrapText="1"/>
    </xf>
    <xf numFmtId="0" fontId="9" fillId="2" borderId="3" xfId="6" applyFont="1" applyFill="1" applyBorder="1" applyAlignment="1">
      <alignment vertical="top"/>
    </xf>
    <xf numFmtId="9" fontId="9" fillId="2" borderId="3" xfId="6" applyNumberFormat="1" applyFont="1" applyFill="1" applyBorder="1" applyAlignment="1">
      <alignment vertical="top"/>
    </xf>
    <xf numFmtId="14" fontId="9" fillId="2" borderId="3" xfId="6" applyNumberFormat="1" applyFont="1" applyFill="1" applyBorder="1" applyAlignment="1">
      <alignment vertical="center"/>
    </xf>
    <xf numFmtId="14" fontId="9" fillId="2" borderId="6" xfId="6" applyNumberFormat="1" applyFont="1" applyFill="1" applyBorder="1" applyAlignment="1">
      <alignment vertical="center"/>
    </xf>
    <xf numFmtId="0" fontId="9" fillId="2" borderId="6" xfId="6" applyFont="1" applyFill="1" applyBorder="1" applyAlignment="1">
      <alignment horizontal="center" vertical="top" wrapText="1"/>
    </xf>
    <xf numFmtId="0" fontId="3" fillId="2" borderId="11" xfId="6" applyFont="1" applyFill="1" applyBorder="1" applyAlignment="1">
      <alignment horizontal="right" vertical="top" wrapText="1"/>
    </xf>
    <xf numFmtId="0" fontId="3" fillId="2" borderId="0" xfId="6" applyFont="1" applyFill="1" applyAlignment="1">
      <alignment vertical="top" wrapText="1"/>
    </xf>
    <xf numFmtId="0" fontId="9" fillId="2" borderId="0" xfId="6" applyFont="1" applyFill="1" applyAlignment="1">
      <alignment horizontal="left" vertical="top" wrapText="1"/>
    </xf>
    <xf numFmtId="0" fontId="9" fillId="2" borderId="3" xfId="6" applyFont="1" applyFill="1" applyBorder="1" applyAlignment="1">
      <alignment vertical="center"/>
    </xf>
    <xf numFmtId="0" fontId="9" fillId="2" borderId="6" xfId="6" applyFont="1" applyFill="1" applyBorder="1" applyAlignment="1">
      <alignment vertical="center"/>
    </xf>
    <xf numFmtId="0" fontId="9" fillId="2" borderId="6" xfId="6" applyFont="1" applyFill="1" applyBorder="1" applyAlignment="1">
      <alignment vertical="top" wrapText="1"/>
    </xf>
    <xf numFmtId="0" fontId="9" fillId="2" borderId="4" xfId="6" applyFont="1" applyFill="1" applyBorder="1" applyAlignment="1">
      <alignment vertical="top"/>
    </xf>
    <xf numFmtId="0" fontId="9" fillId="2" borderId="5" xfId="6" applyFont="1" applyFill="1" applyBorder="1" applyAlignment="1">
      <alignment vertical="top"/>
    </xf>
    <xf numFmtId="0" fontId="9" fillId="2" borderId="6" xfId="6" applyFont="1" applyFill="1" applyBorder="1" applyAlignment="1">
      <alignment vertical="top"/>
    </xf>
    <xf numFmtId="0" fontId="3" fillId="2" borderId="13" xfId="6" applyFont="1" applyFill="1" applyBorder="1" applyAlignment="1">
      <alignment horizontal="right" vertical="top" wrapText="1"/>
    </xf>
    <xf numFmtId="0" fontId="3" fillId="2" borderId="14" xfId="6" applyFont="1" applyFill="1" applyBorder="1" applyAlignment="1">
      <alignment vertical="top" wrapText="1"/>
    </xf>
    <xf numFmtId="14" fontId="9" fillId="0" borderId="14" xfId="6" applyNumberFormat="1" applyFont="1" applyBorder="1" applyAlignment="1">
      <alignment horizontal="left" vertical="top" wrapText="1"/>
    </xf>
    <xf numFmtId="0" fontId="9" fillId="2" borderId="13" xfId="6" applyFont="1" applyFill="1" applyBorder="1" applyAlignment="1">
      <alignment vertical="top"/>
    </xf>
    <xf numFmtId="0" fontId="9" fillId="2" borderId="14" xfId="6" applyFont="1" applyFill="1" applyBorder="1" applyAlignment="1">
      <alignment vertical="top"/>
    </xf>
    <xf numFmtId="0" fontId="9" fillId="2" borderId="15" xfId="6" applyFont="1" applyFill="1" applyBorder="1" applyAlignment="1">
      <alignment vertical="top"/>
    </xf>
    <xf numFmtId="0" fontId="9" fillId="2" borderId="12" xfId="6" applyFont="1" applyFill="1" applyBorder="1" applyAlignment="1">
      <alignment vertical="top"/>
    </xf>
    <xf numFmtId="0" fontId="9" fillId="2" borderId="12" xfId="6" applyFont="1" applyFill="1" applyBorder="1" applyAlignment="1">
      <alignment vertical="center"/>
    </xf>
    <xf numFmtId="0" fontId="9" fillId="2" borderId="15" xfId="6" applyFont="1" applyFill="1" applyBorder="1" applyAlignment="1">
      <alignment vertical="center"/>
    </xf>
    <xf numFmtId="0" fontId="9" fillId="2" borderId="15" xfId="6" applyFont="1" applyFill="1" applyBorder="1" applyAlignment="1">
      <alignment horizontal="center" vertical="top" wrapText="1"/>
    </xf>
    <xf numFmtId="0" fontId="9" fillId="2" borderId="11" xfId="6" applyFont="1" applyFill="1" applyBorder="1" applyAlignment="1">
      <alignment horizontal="right" vertical="top" wrapText="1"/>
    </xf>
    <xf numFmtId="0" fontId="9" fillId="2" borderId="0" xfId="6" applyFont="1" applyFill="1" applyAlignment="1">
      <alignment horizontal="right" vertical="top" wrapText="1"/>
    </xf>
    <xf numFmtId="0" fontId="9" fillId="2" borderId="16" xfId="6" applyFont="1" applyFill="1" applyBorder="1" applyAlignment="1">
      <alignment vertical="top" wrapText="1"/>
    </xf>
    <xf numFmtId="0" fontId="9" fillId="2" borderId="10" xfId="6" applyFont="1" applyFill="1" applyBorder="1" applyAlignment="1">
      <alignment vertical="top"/>
    </xf>
    <xf numFmtId="0" fontId="9" fillId="2" borderId="10" xfId="6" applyFont="1" applyFill="1" applyBorder="1" applyAlignment="1">
      <alignment vertical="center"/>
    </xf>
    <xf numFmtId="0" fontId="9" fillId="2" borderId="16" xfId="6" applyFont="1" applyFill="1" applyBorder="1" applyAlignment="1">
      <alignment vertical="center"/>
    </xf>
    <xf numFmtId="0" fontId="9" fillId="2" borderId="16" xfId="6" applyFont="1" applyFill="1" applyBorder="1" applyAlignment="1">
      <alignment horizontal="center" vertical="top" wrapText="1"/>
    </xf>
    <xf numFmtId="0" fontId="9" fillId="2" borderId="11" xfId="6" applyFont="1" applyFill="1" applyBorder="1" applyAlignment="1">
      <alignment vertical="top"/>
    </xf>
    <xf numFmtId="0" fontId="9" fillId="2" borderId="0" xfId="6" applyFont="1" applyFill="1" applyAlignment="1">
      <alignment vertical="top"/>
    </xf>
    <xf numFmtId="0" fontId="9" fillId="2" borderId="16" xfId="6" applyFont="1" applyFill="1" applyBorder="1" applyAlignment="1">
      <alignment vertical="top"/>
    </xf>
    <xf numFmtId="14" fontId="9" fillId="0" borderId="0" xfId="6" applyNumberFormat="1" applyFont="1" applyAlignment="1">
      <alignment horizontal="left" vertical="top" wrapText="1"/>
    </xf>
    <xf numFmtId="0" fontId="2" fillId="2" borderId="7" xfId="6" applyFont="1" applyFill="1" applyBorder="1" applyAlignment="1">
      <alignment horizontal="center" vertical="center" wrapText="1"/>
    </xf>
    <xf numFmtId="0" fontId="7" fillId="2" borderId="3" xfId="6" applyFont="1" applyFill="1" applyBorder="1" applyAlignment="1">
      <alignment horizontal="center" vertical="center"/>
    </xf>
    <xf numFmtId="0" fontId="3" fillId="0" borderId="7" xfId="6" applyFont="1" applyBorder="1" applyAlignment="1">
      <alignment horizontal="center" vertical="center" wrapText="1"/>
    </xf>
    <xf numFmtId="0" fontId="3" fillId="0" borderId="3" xfId="0" applyFont="1" applyBorder="1" applyAlignment="1">
      <alignment horizontal="left" vertical="top" wrapText="1"/>
    </xf>
    <xf numFmtId="9" fontId="7" fillId="2" borderId="3" xfId="6" applyNumberFormat="1" applyFont="1" applyFill="1" applyBorder="1" applyAlignment="1">
      <alignment horizontal="center" vertical="center"/>
    </xf>
    <xf numFmtId="14" fontId="7" fillId="2" borderId="3" xfId="6" applyNumberFormat="1" applyFont="1" applyFill="1" applyBorder="1" applyAlignment="1">
      <alignment horizontal="right" vertical="center"/>
    </xf>
    <xf numFmtId="14" fontId="7" fillId="2" borderId="3" xfId="6" applyNumberFormat="1" applyFont="1" applyFill="1" applyBorder="1" applyAlignment="1">
      <alignment horizontal="center" vertical="center" wrapText="1"/>
    </xf>
    <xf numFmtId="0" fontId="10" fillId="0" borderId="3" xfId="0" applyFont="1" applyBorder="1" applyAlignment="1">
      <alignment horizontal="left" vertical="top" wrapText="1"/>
    </xf>
    <xf numFmtId="0" fontId="11" fillId="0" borderId="3" xfId="1" applyBorder="1" applyAlignment="1">
      <alignment horizontal="center" vertical="center" wrapText="1"/>
    </xf>
    <xf numFmtId="0" fontId="7" fillId="2" borderId="7" xfId="6" applyFont="1" applyFill="1" applyBorder="1" applyAlignment="1">
      <alignment horizontal="center" vertical="center"/>
    </xf>
    <xf numFmtId="0" fontId="7" fillId="2" borderId="12" xfId="6" applyFont="1" applyFill="1" applyBorder="1" applyAlignment="1">
      <alignment horizontal="center" vertical="center"/>
    </xf>
    <xf numFmtId="0" fontId="12" fillId="0" borderId="0" xfId="6" applyFont="1" applyAlignment="1">
      <alignment horizontal="center" vertical="center" wrapText="1"/>
    </xf>
    <xf numFmtId="0" fontId="3" fillId="2" borderId="0" xfId="6" applyFont="1" applyFill="1" applyAlignment="1">
      <alignment horizontal="center" vertical="center" wrapText="1"/>
    </xf>
    <xf numFmtId="0" fontId="4" fillId="2" borderId="1" xfId="6" applyFont="1" applyFill="1" applyBorder="1" applyAlignment="1">
      <alignment horizontal="center" vertical="top" wrapText="1"/>
    </xf>
    <xf numFmtId="0" fontId="5" fillId="2" borderId="2" xfId="6" applyFont="1" applyFill="1" applyBorder="1" applyAlignment="1">
      <alignment horizontal="center" wrapText="1"/>
    </xf>
    <xf numFmtId="0" fontId="1" fillId="2" borderId="0" xfId="6" applyFont="1" applyFill="1" applyAlignment="1">
      <alignment horizontal="right" vertical="top" wrapText="1"/>
    </xf>
    <xf numFmtId="0" fontId="2" fillId="3" borderId="4" xfId="6" applyFont="1" applyFill="1" applyBorder="1" applyAlignment="1">
      <alignment horizontal="center" vertical="center" wrapText="1"/>
    </xf>
    <xf numFmtId="0" fontId="2" fillId="3" borderId="5" xfId="6" applyFont="1" applyFill="1" applyBorder="1" applyAlignment="1">
      <alignment horizontal="center" vertical="center" wrapText="1"/>
    </xf>
    <xf numFmtId="0" fontId="2" fillId="3" borderId="6" xfId="6" applyFont="1" applyFill="1" applyBorder="1" applyAlignment="1">
      <alignment horizontal="center" vertical="center" wrapText="1"/>
    </xf>
    <xf numFmtId="0" fontId="2" fillId="2" borderId="8" xfId="6" applyFont="1" applyFill="1" applyBorder="1" applyAlignment="1">
      <alignment horizontal="left" vertical="top" wrapText="1"/>
    </xf>
    <xf numFmtId="0" fontId="2" fillId="2" borderId="9" xfId="6" applyFont="1" applyFill="1" applyBorder="1" applyAlignment="1">
      <alignment horizontal="left" vertical="top" wrapText="1"/>
    </xf>
    <xf numFmtId="0" fontId="2" fillId="2" borderId="11" xfId="6" applyFont="1" applyFill="1" applyBorder="1" applyAlignment="1">
      <alignment horizontal="center" vertical="center" wrapText="1"/>
    </xf>
    <xf numFmtId="0" fontId="2" fillId="2" borderId="0" xfId="6" applyFont="1" applyFill="1" applyAlignment="1">
      <alignment horizontal="center" vertical="center" wrapText="1"/>
    </xf>
    <xf numFmtId="0" fontId="2" fillId="2" borderId="16" xfId="6" applyFont="1" applyFill="1" applyBorder="1" applyAlignment="1">
      <alignment horizontal="center" vertical="center" wrapText="1"/>
    </xf>
    <xf numFmtId="0" fontId="2" fillId="2" borderId="7" xfId="6" applyFont="1" applyFill="1" applyBorder="1" applyAlignment="1">
      <alignment horizontal="center" vertical="top" wrapText="1"/>
    </xf>
    <xf numFmtId="0" fontId="2" fillId="2" borderId="10" xfId="6" applyFont="1" applyFill="1" applyBorder="1" applyAlignment="1">
      <alignment horizontal="center" vertical="top" wrapText="1"/>
    </xf>
    <xf numFmtId="0" fontId="2" fillId="2" borderId="12" xfId="6" applyFont="1" applyFill="1" applyBorder="1" applyAlignment="1">
      <alignment horizontal="center" vertical="top" wrapText="1"/>
    </xf>
    <xf numFmtId="0" fontId="2" fillId="2" borderId="3" xfId="6" applyFont="1" applyFill="1" applyBorder="1" applyAlignment="1">
      <alignment horizontal="center" vertical="center" wrapText="1"/>
    </xf>
    <xf numFmtId="0" fontId="7" fillId="2" borderId="7" xfId="6" applyFont="1" applyFill="1" applyBorder="1" applyAlignment="1">
      <alignment horizontal="center" vertical="center"/>
    </xf>
    <xf numFmtId="0" fontId="7" fillId="2" borderId="12" xfId="6" applyFont="1" applyFill="1" applyBorder="1" applyAlignment="1">
      <alignment horizontal="center" vertical="center"/>
    </xf>
    <xf numFmtId="0" fontId="3" fillId="0" borderId="3" xfId="6" applyFont="1" applyBorder="1" applyAlignment="1">
      <alignment horizontal="center" vertical="center" wrapText="1"/>
    </xf>
    <xf numFmtId="0" fontId="3" fillId="0" borderId="7" xfId="0" applyFont="1" applyBorder="1" applyAlignment="1">
      <alignment horizontal="left" vertical="top" wrapText="1"/>
    </xf>
    <xf numFmtId="0" fontId="3" fillId="0" borderId="12" xfId="0" applyFont="1" applyBorder="1" applyAlignment="1">
      <alignment horizontal="left" vertical="top" wrapText="1"/>
    </xf>
    <xf numFmtId="9" fontId="7" fillId="2" borderId="7" xfId="6" applyNumberFormat="1" applyFont="1" applyFill="1" applyBorder="1" applyAlignment="1">
      <alignment horizontal="center" vertical="center"/>
    </xf>
    <xf numFmtId="9" fontId="7" fillId="2" borderId="12" xfId="6" applyNumberFormat="1" applyFont="1" applyFill="1" applyBorder="1" applyAlignment="1">
      <alignment horizontal="center" vertical="center"/>
    </xf>
    <xf numFmtId="14" fontId="7" fillId="2" borderId="7" xfId="6" applyNumberFormat="1" applyFont="1" applyFill="1" applyBorder="1" applyAlignment="1">
      <alignment horizontal="center" vertical="center"/>
    </xf>
    <xf numFmtId="14" fontId="7" fillId="2" borderId="12" xfId="6" applyNumberFormat="1" applyFont="1" applyFill="1" applyBorder="1" applyAlignment="1">
      <alignment horizontal="center" vertical="center"/>
    </xf>
  </cellXfs>
  <cellStyles count="7">
    <cellStyle name="Hyperlink" xfId="1" builtinId="8"/>
    <cellStyle name="Normal" xfId="0" builtinId="0"/>
    <cellStyle name="Normal 2" xfId="2" xr:uid="{00000000-0005-0000-0000-000031000000}"/>
    <cellStyle name="Normal 2 2" xfId="3" xr:uid="{00000000-0005-0000-0000-000032000000}"/>
    <cellStyle name="Normal 2 3" xfId="4" xr:uid="{00000000-0005-0000-0000-000033000000}"/>
    <cellStyle name="Normal 3" xfId="5" xr:uid="{00000000-0005-0000-0000-000034000000}"/>
    <cellStyle name="Normal 4" xfId="6" xr:uid="{00000000-0005-0000-0000-000035000000}"/>
  </cellStyles>
  <dxfs count="0"/>
  <tableStyles count="0" defaultTableStyle="TableStyleMedium2" defaultPivotStyle="PivotStyleLight16"/>
  <colors>
    <mruColors>
      <color rgb="FF0066FF"/>
      <color rgb="FF0033CC"/>
      <color rgb="FFCCECFF"/>
      <color rgb="FF3399FF"/>
      <color rgb="FFCC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104776</xdr:colOff>
      <xdr:row>0</xdr:row>
      <xdr:rowOff>9526</xdr:rowOff>
    </xdr:from>
    <xdr:to>
      <xdr:col>2</xdr:col>
      <xdr:colOff>910590</xdr:colOff>
      <xdr:row>3</xdr:row>
      <xdr:rowOff>116458</xdr:rowOff>
    </xdr:to>
    <xdr:pic>
      <xdr:nvPicPr>
        <xdr:cNvPr id="2" name="Picture 2" descr="logo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6817" t="6360" r="7387" b="4601"/>
        <a:stretch>
          <a:fillRect/>
        </a:stretch>
      </xdr:blipFill>
      <xdr:spPr>
        <a:xfrm>
          <a:off x="104775" y="9525"/>
          <a:ext cx="1286510" cy="963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ework.base.vn/mytasks?task=9788161" TargetMode="External"/><Relationship Id="rId1" Type="http://schemas.openxmlformats.org/officeDocument/2006/relationships/hyperlink" Target="https://wework.base.vn/mytasks?task=998171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0"/>
  <sheetViews>
    <sheetView tabSelected="1" zoomScale="99" zoomScaleNormal="99" workbookViewId="0">
      <pane xSplit="13" ySplit="7" topLeftCell="N32" activePane="bottomRight" state="frozen"/>
      <selection pane="topRight"/>
      <selection pane="bottomLeft"/>
      <selection pane="bottomRight" activeCell="L33" sqref="L33:L34"/>
    </sheetView>
  </sheetViews>
  <sheetFormatPr defaultColWidth="9.140625" defaultRowHeight="24.95" customHeight="1"/>
  <cols>
    <col min="1" max="1" width="4.140625" style="3" customWidth="1"/>
    <col min="2" max="2" width="3.140625" style="4" customWidth="1"/>
    <col min="3" max="3" width="16.7109375" style="4" customWidth="1"/>
    <col min="4" max="4" width="1.7109375" style="4" customWidth="1"/>
    <col min="5" max="5" width="4.7109375" style="4" customWidth="1"/>
    <col min="6" max="6" width="15.5703125" style="4" customWidth="1"/>
    <col min="7" max="7" width="48.85546875" style="4" customWidth="1"/>
    <col min="8" max="8" width="12.28515625" style="4" customWidth="1"/>
    <col min="9" max="9" width="18.5703125" style="4" customWidth="1"/>
    <col min="10" max="10" width="16.28515625" style="4" customWidth="1"/>
    <col min="11" max="11" width="17.42578125" style="4" customWidth="1"/>
    <col min="12" max="12" width="18.85546875" style="4" customWidth="1"/>
    <col min="13" max="13" width="19.7109375" style="4" customWidth="1"/>
    <col min="14" max="14" width="19.42578125" style="4" customWidth="1"/>
    <col min="15" max="15" width="52" style="4" customWidth="1"/>
    <col min="16" max="16" width="42.85546875" style="5" customWidth="1"/>
    <col min="17" max="16384" width="9.140625" style="4"/>
  </cols>
  <sheetData>
    <row r="1" spans="1:16" ht="20.25" customHeight="1">
      <c r="A1" s="69"/>
      <c r="B1" s="69"/>
      <c r="C1" s="69"/>
      <c r="D1" s="70" t="s">
        <v>0</v>
      </c>
      <c r="E1" s="70"/>
      <c r="F1" s="70"/>
      <c r="G1" s="70"/>
      <c r="H1" s="70"/>
      <c r="I1" s="70"/>
      <c r="J1" s="70"/>
      <c r="K1" s="70"/>
      <c r="L1" s="70"/>
      <c r="M1" s="70"/>
      <c r="N1" s="70"/>
      <c r="O1" s="70"/>
    </row>
    <row r="2" spans="1:16" ht="18" customHeight="1">
      <c r="A2" s="6"/>
      <c r="B2" s="6"/>
      <c r="C2" s="6"/>
      <c r="D2" s="71" t="s">
        <v>1</v>
      </c>
      <c r="E2" s="71"/>
      <c r="F2" s="71"/>
      <c r="G2" s="71"/>
      <c r="H2" s="71"/>
      <c r="I2" s="71"/>
      <c r="J2" s="71"/>
      <c r="K2" s="71"/>
      <c r="L2" s="71"/>
      <c r="M2" s="71"/>
      <c r="N2" s="71"/>
      <c r="O2" s="71"/>
    </row>
    <row r="3" spans="1:16" ht="29.25" customHeight="1">
      <c r="A3" s="6"/>
      <c r="B3" s="6"/>
      <c r="C3" s="6"/>
      <c r="D3" s="7"/>
      <c r="E3" s="7"/>
      <c r="F3" s="7"/>
      <c r="G3" s="7"/>
      <c r="H3" s="7"/>
      <c r="I3" s="7"/>
      <c r="J3" s="7"/>
      <c r="K3" s="7"/>
      <c r="L3" s="7"/>
      <c r="M3" s="8"/>
      <c r="N3" s="8"/>
      <c r="O3" s="9" t="s">
        <v>2</v>
      </c>
    </row>
    <row r="4" spans="1:16" ht="18" customHeight="1">
      <c r="A4" s="6"/>
      <c r="B4" s="6"/>
      <c r="C4" s="6"/>
      <c r="D4" s="7"/>
      <c r="E4" s="7"/>
      <c r="F4" s="7"/>
      <c r="G4" s="7"/>
      <c r="I4" s="7"/>
      <c r="J4" s="7"/>
      <c r="K4" s="7"/>
      <c r="L4" s="7"/>
      <c r="M4" s="8"/>
      <c r="N4" s="8"/>
      <c r="O4" s="10" t="s">
        <v>3</v>
      </c>
    </row>
    <row r="5" spans="1:16" ht="18.75" customHeight="1">
      <c r="A5" s="6"/>
      <c r="B5" s="6"/>
      <c r="C5" s="6"/>
      <c r="D5" s="7"/>
      <c r="E5" s="7"/>
      <c r="F5" s="7"/>
      <c r="G5" s="7"/>
      <c r="H5" s="7"/>
      <c r="I5" s="7"/>
      <c r="J5" s="7"/>
      <c r="K5" s="7"/>
      <c r="L5" s="7"/>
      <c r="M5" s="8"/>
      <c r="N5" s="8"/>
      <c r="O5" s="1" t="s">
        <v>4</v>
      </c>
    </row>
    <row r="6" spans="1:16" s="1" customFormat="1" ht="21" customHeight="1">
      <c r="A6" s="72"/>
      <c r="B6" s="72"/>
      <c r="C6" s="72"/>
      <c r="D6" s="72"/>
      <c r="E6" s="72"/>
      <c r="F6" s="72"/>
      <c r="G6" s="72"/>
      <c r="H6" s="72"/>
      <c r="I6" s="72"/>
      <c r="J6" s="72"/>
      <c r="K6" s="72"/>
      <c r="L6" s="72"/>
      <c r="M6" s="72"/>
      <c r="N6" s="11"/>
      <c r="O6" s="1" t="s">
        <v>5</v>
      </c>
      <c r="P6" s="12"/>
    </row>
    <row r="7" spans="1:16" s="2" customFormat="1" ht="24.95" customHeight="1">
      <c r="A7" s="13" t="s">
        <v>6</v>
      </c>
      <c r="B7" s="73" t="s">
        <v>7</v>
      </c>
      <c r="C7" s="74"/>
      <c r="D7" s="75"/>
      <c r="E7" s="15"/>
      <c r="F7" s="15" t="s">
        <v>8</v>
      </c>
      <c r="G7" s="15" t="s">
        <v>9</v>
      </c>
      <c r="H7" s="13" t="s">
        <v>10</v>
      </c>
      <c r="I7" s="13" t="s">
        <v>11</v>
      </c>
      <c r="J7" s="13" t="s">
        <v>12</v>
      </c>
      <c r="K7" s="13" t="s">
        <v>13</v>
      </c>
      <c r="L7" s="16" t="s">
        <v>14</v>
      </c>
      <c r="M7" s="13" t="s">
        <v>15</v>
      </c>
      <c r="N7" s="17" t="s">
        <v>16</v>
      </c>
      <c r="O7" s="14" t="s">
        <v>17</v>
      </c>
      <c r="P7" s="13" t="s">
        <v>18</v>
      </c>
    </row>
    <row r="8" spans="1:16" ht="57.75" hidden="1" customHeight="1">
      <c r="A8" s="81" t="e">
        <f>1+#REF!</f>
        <v>#REF!</v>
      </c>
      <c r="B8" s="76" t="s">
        <v>19</v>
      </c>
      <c r="C8" s="77"/>
      <c r="D8" s="18" t="s">
        <v>20</v>
      </c>
      <c r="E8" s="19" t="s">
        <v>21</v>
      </c>
      <c r="F8" s="20"/>
      <c r="G8" s="21" t="s">
        <v>22</v>
      </c>
      <c r="H8" s="22" t="s">
        <v>23</v>
      </c>
      <c r="I8" s="23">
        <v>0.3</v>
      </c>
      <c r="J8" s="23"/>
      <c r="K8" s="23"/>
      <c r="L8" s="22"/>
      <c r="M8" s="24">
        <v>43585</v>
      </c>
      <c r="N8" s="25"/>
      <c r="O8" s="26"/>
      <c r="P8" s="2"/>
    </row>
    <row r="9" spans="1:16" ht="44.25" hidden="1" customHeight="1">
      <c r="A9" s="82"/>
      <c r="B9" s="27" t="s">
        <v>24</v>
      </c>
      <c r="C9" s="28" t="s">
        <v>25</v>
      </c>
      <c r="D9" s="29"/>
      <c r="E9" s="19" t="s">
        <v>21</v>
      </c>
      <c r="F9" s="20"/>
      <c r="G9" s="21" t="s">
        <v>26</v>
      </c>
      <c r="H9" s="22"/>
      <c r="I9" s="22"/>
      <c r="J9" s="22"/>
      <c r="K9" s="22"/>
      <c r="L9" s="22"/>
      <c r="M9" s="30"/>
      <c r="N9" s="31"/>
      <c r="O9" s="26"/>
      <c r="P9" s="2"/>
    </row>
    <row r="10" spans="1:16" ht="30.75" hidden="1" customHeight="1">
      <c r="A10" s="82"/>
      <c r="B10" s="27" t="s">
        <v>24</v>
      </c>
      <c r="C10" s="28" t="s">
        <v>27</v>
      </c>
      <c r="D10" s="29" t="s">
        <v>28</v>
      </c>
      <c r="E10" s="19" t="s">
        <v>21</v>
      </c>
      <c r="F10" s="20"/>
      <c r="G10" s="32"/>
      <c r="H10" s="22"/>
      <c r="I10" s="22"/>
      <c r="J10" s="22"/>
      <c r="K10" s="22"/>
      <c r="L10" s="22"/>
      <c r="M10" s="30"/>
      <c r="N10" s="31"/>
      <c r="O10" s="26"/>
      <c r="P10" s="2"/>
    </row>
    <row r="11" spans="1:16" ht="18" hidden="1" customHeight="1">
      <c r="A11" s="82"/>
      <c r="B11" s="27" t="s">
        <v>24</v>
      </c>
      <c r="C11" s="28" t="s">
        <v>29</v>
      </c>
      <c r="D11" s="29"/>
      <c r="E11" s="33"/>
      <c r="F11" s="34"/>
      <c r="G11" s="35"/>
      <c r="H11" s="22"/>
      <c r="I11" s="22"/>
      <c r="J11" s="22"/>
      <c r="K11" s="22"/>
      <c r="L11" s="22"/>
      <c r="M11" s="30"/>
      <c r="N11" s="31"/>
      <c r="O11" s="26"/>
      <c r="P11" s="2"/>
    </row>
    <row r="12" spans="1:16" ht="18" hidden="1" customHeight="1">
      <c r="A12" s="82"/>
      <c r="B12" s="27" t="s">
        <v>24</v>
      </c>
      <c r="C12" s="28" t="s">
        <v>30</v>
      </c>
      <c r="D12" s="29"/>
      <c r="E12" s="33"/>
      <c r="F12" s="34"/>
      <c r="G12" s="35"/>
      <c r="H12" s="22"/>
      <c r="I12" s="22"/>
      <c r="J12" s="22"/>
      <c r="K12" s="22"/>
      <c r="L12" s="22"/>
      <c r="M12" s="30"/>
      <c r="N12" s="31"/>
      <c r="O12" s="26"/>
      <c r="P12" s="2"/>
    </row>
    <row r="13" spans="1:16" ht="18" hidden="1" customHeight="1">
      <c r="A13" s="82"/>
      <c r="B13" s="27" t="s">
        <v>24</v>
      </c>
      <c r="C13" s="28" t="s">
        <v>31</v>
      </c>
      <c r="D13" s="29"/>
      <c r="E13" s="33"/>
      <c r="F13" s="34"/>
      <c r="G13" s="35"/>
      <c r="H13" s="22"/>
      <c r="I13" s="22"/>
      <c r="J13" s="22"/>
      <c r="K13" s="22"/>
      <c r="L13" s="22"/>
      <c r="M13" s="30"/>
      <c r="N13" s="31"/>
      <c r="O13" s="26"/>
      <c r="P13" s="2"/>
    </row>
    <row r="14" spans="1:16" ht="18" hidden="1" customHeight="1">
      <c r="A14" s="82"/>
      <c r="B14" s="27" t="s">
        <v>24</v>
      </c>
      <c r="C14" s="28" t="s">
        <v>32</v>
      </c>
      <c r="D14" s="29"/>
      <c r="E14" s="33"/>
      <c r="F14" s="34"/>
      <c r="G14" s="35"/>
      <c r="H14" s="22"/>
      <c r="I14" s="22"/>
      <c r="J14" s="22"/>
      <c r="K14" s="22"/>
      <c r="L14" s="22"/>
      <c r="M14" s="30"/>
      <c r="N14" s="31"/>
      <c r="O14" s="26"/>
      <c r="P14" s="2"/>
    </row>
    <row r="15" spans="1:16" ht="18" hidden="1" customHeight="1">
      <c r="A15" s="83"/>
      <c r="B15" s="36" t="s">
        <v>24</v>
      </c>
      <c r="C15" s="37" t="s">
        <v>33</v>
      </c>
      <c r="D15" s="38"/>
      <c r="E15" s="39"/>
      <c r="F15" s="40"/>
      <c r="G15" s="41"/>
      <c r="H15" s="42"/>
      <c r="I15" s="42"/>
      <c r="J15" s="42"/>
      <c r="K15" s="42"/>
      <c r="L15" s="42"/>
      <c r="M15" s="43"/>
      <c r="N15" s="44"/>
      <c r="O15" s="45"/>
      <c r="P15" s="2"/>
    </row>
    <row r="16" spans="1:16" ht="13.15" hidden="1" customHeight="1">
      <c r="A16" s="81" t="e">
        <f t="shared" ref="A16" si="0">1+A8</f>
        <v>#REF!</v>
      </c>
      <c r="B16" s="76" t="s">
        <v>19</v>
      </c>
      <c r="C16" s="77"/>
      <c r="D16" s="18" t="s">
        <v>34</v>
      </c>
      <c r="E16" s="19" t="s">
        <v>21</v>
      </c>
      <c r="F16" s="20"/>
      <c r="G16" s="21" t="s">
        <v>35</v>
      </c>
      <c r="H16" s="22" t="s">
        <v>23</v>
      </c>
      <c r="I16" s="22"/>
      <c r="J16" s="22"/>
      <c r="K16" s="22"/>
      <c r="L16" s="22"/>
      <c r="M16" s="30"/>
      <c r="N16" s="31"/>
      <c r="O16" s="26"/>
      <c r="P16" s="2"/>
    </row>
    <row r="17" spans="1:16" ht="24.95" hidden="1" customHeight="1">
      <c r="A17" s="82"/>
      <c r="B17" s="27" t="s">
        <v>24</v>
      </c>
      <c r="C17" s="28" t="s">
        <v>25</v>
      </c>
      <c r="D17" s="29"/>
      <c r="E17" s="19" t="s">
        <v>21</v>
      </c>
      <c r="F17" s="20"/>
      <c r="G17" s="21"/>
      <c r="H17" s="22"/>
      <c r="I17" s="22"/>
      <c r="J17" s="22"/>
      <c r="K17" s="22"/>
      <c r="L17" s="22"/>
      <c r="M17" s="30"/>
      <c r="N17" s="31"/>
      <c r="O17" s="26"/>
      <c r="P17" s="2"/>
    </row>
    <row r="18" spans="1:16" ht="24.95" hidden="1" customHeight="1">
      <c r="A18" s="82"/>
      <c r="B18" s="27" t="s">
        <v>24</v>
      </c>
      <c r="C18" s="28" t="s">
        <v>27</v>
      </c>
      <c r="D18" s="29" t="s">
        <v>28</v>
      </c>
      <c r="E18" s="19" t="s">
        <v>21</v>
      </c>
      <c r="F18" s="20"/>
      <c r="G18" s="32"/>
      <c r="H18" s="22"/>
      <c r="I18" s="22"/>
      <c r="J18" s="22"/>
      <c r="K18" s="22"/>
      <c r="L18" s="22"/>
      <c r="M18" s="30"/>
      <c r="N18" s="31"/>
      <c r="O18" s="26"/>
      <c r="P18" s="2"/>
    </row>
    <row r="19" spans="1:16" ht="24.95" hidden="1" customHeight="1">
      <c r="A19" s="82"/>
      <c r="B19" s="27" t="s">
        <v>24</v>
      </c>
      <c r="C19" s="28" t="s">
        <v>29</v>
      </c>
      <c r="D19" s="29"/>
      <c r="E19" s="33"/>
      <c r="F19" s="34"/>
      <c r="G19" s="35"/>
      <c r="H19" s="22"/>
      <c r="I19" s="22"/>
      <c r="J19" s="22"/>
      <c r="K19" s="22"/>
      <c r="L19" s="22"/>
      <c r="M19" s="30"/>
      <c r="N19" s="31"/>
      <c r="O19" s="26"/>
      <c r="P19" s="2"/>
    </row>
    <row r="20" spans="1:16" ht="24.95" hidden="1" customHeight="1">
      <c r="A20" s="82"/>
      <c r="B20" s="27" t="s">
        <v>24</v>
      </c>
      <c r="C20" s="28" t="s">
        <v>30</v>
      </c>
      <c r="D20" s="29"/>
      <c r="E20" s="33"/>
      <c r="F20" s="34"/>
      <c r="G20" s="35"/>
      <c r="H20" s="22"/>
      <c r="I20" s="22"/>
      <c r="J20" s="22"/>
      <c r="K20" s="22"/>
      <c r="L20" s="22"/>
      <c r="M20" s="30"/>
      <c r="N20" s="31"/>
      <c r="O20" s="26"/>
      <c r="P20" s="2"/>
    </row>
    <row r="21" spans="1:16" ht="24.95" hidden="1" customHeight="1">
      <c r="A21" s="82"/>
      <c r="B21" s="27" t="s">
        <v>24</v>
      </c>
      <c r="C21" s="28" t="s">
        <v>31</v>
      </c>
      <c r="D21" s="29"/>
      <c r="E21" s="33"/>
      <c r="F21" s="34"/>
      <c r="G21" s="35"/>
      <c r="H21" s="22"/>
      <c r="I21" s="22"/>
      <c r="J21" s="22"/>
      <c r="K21" s="22"/>
      <c r="L21" s="22"/>
      <c r="M21" s="30"/>
      <c r="N21" s="31"/>
      <c r="O21" s="26"/>
      <c r="P21" s="2"/>
    </row>
    <row r="22" spans="1:16" ht="24.95" hidden="1" customHeight="1">
      <c r="A22" s="82"/>
      <c r="B22" s="27" t="s">
        <v>24</v>
      </c>
      <c r="C22" s="28" t="s">
        <v>32</v>
      </c>
      <c r="D22" s="29"/>
      <c r="E22" s="33"/>
      <c r="F22" s="34"/>
      <c r="G22" s="35"/>
      <c r="H22" s="22"/>
      <c r="I22" s="22"/>
      <c r="J22" s="22"/>
      <c r="K22" s="22"/>
      <c r="L22" s="22"/>
      <c r="M22" s="30"/>
      <c r="N22" s="31"/>
      <c r="O22" s="26"/>
      <c r="P22" s="2"/>
    </row>
    <row r="23" spans="1:16" ht="24.95" hidden="1" customHeight="1">
      <c r="A23" s="83"/>
      <c r="B23" s="36" t="s">
        <v>24</v>
      </c>
      <c r="C23" s="37" t="s">
        <v>33</v>
      </c>
      <c r="D23" s="38"/>
      <c r="E23" s="39"/>
      <c r="F23" s="40"/>
      <c r="G23" s="41"/>
      <c r="H23" s="42"/>
      <c r="I23" s="42"/>
      <c r="J23" s="42"/>
      <c r="K23" s="42"/>
      <c r="L23" s="42"/>
      <c r="M23" s="43"/>
      <c r="N23" s="44"/>
      <c r="O23" s="45"/>
      <c r="P23" s="2"/>
    </row>
    <row r="24" spans="1:16" ht="24.95" hidden="1" customHeight="1">
      <c r="A24" s="81" t="e">
        <f t="shared" ref="A24" si="1">1+A16</f>
        <v>#REF!</v>
      </c>
      <c r="B24" s="76" t="s">
        <v>19</v>
      </c>
      <c r="C24" s="77"/>
      <c r="D24" s="18" t="s">
        <v>36</v>
      </c>
      <c r="E24" s="19" t="s">
        <v>21</v>
      </c>
      <c r="F24" s="20"/>
      <c r="G24" s="21" t="s">
        <v>37</v>
      </c>
      <c r="H24" s="22"/>
      <c r="I24" s="23">
        <v>0.05</v>
      </c>
      <c r="J24" s="23"/>
      <c r="K24" s="23"/>
      <c r="L24" s="22"/>
      <c r="M24" s="30"/>
      <c r="N24" s="31"/>
      <c r="O24" s="26"/>
      <c r="P24" s="2"/>
    </row>
    <row r="25" spans="1:16" ht="24.95" hidden="1" customHeight="1">
      <c r="A25" s="82"/>
      <c r="B25" s="27" t="s">
        <v>24</v>
      </c>
      <c r="C25" s="28" t="s">
        <v>25</v>
      </c>
      <c r="D25" s="29"/>
      <c r="E25" s="19" t="s">
        <v>21</v>
      </c>
      <c r="F25" s="20"/>
      <c r="G25" s="21" t="s">
        <v>38</v>
      </c>
      <c r="H25" s="22"/>
      <c r="I25" s="23">
        <v>0.05</v>
      </c>
      <c r="J25" s="23"/>
      <c r="K25" s="23"/>
      <c r="L25" s="22"/>
      <c r="M25" s="30"/>
      <c r="N25" s="31"/>
      <c r="O25" s="26"/>
      <c r="P25" s="2"/>
    </row>
    <row r="26" spans="1:16" ht="24.95" hidden="1" customHeight="1">
      <c r="A26" s="82"/>
      <c r="B26" s="27" t="s">
        <v>24</v>
      </c>
      <c r="C26" s="28" t="s">
        <v>27</v>
      </c>
      <c r="D26" s="29" t="s">
        <v>28</v>
      </c>
      <c r="E26" s="46" t="s">
        <v>21</v>
      </c>
      <c r="F26" s="47"/>
      <c r="G26" s="48"/>
      <c r="H26" s="49"/>
      <c r="I26" s="49"/>
      <c r="J26" s="49"/>
      <c r="K26" s="49"/>
      <c r="L26" s="49"/>
      <c r="M26" s="50"/>
      <c r="N26" s="51"/>
      <c r="O26" s="52"/>
      <c r="P26" s="2"/>
    </row>
    <row r="27" spans="1:16" ht="24.95" hidden="1" customHeight="1">
      <c r="A27" s="82"/>
      <c r="B27" s="27" t="s">
        <v>24</v>
      </c>
      <c r="C27" s="28" t="s">
        <v>29</v>
      </c>
      <c r="D27" s="29"/>
      <c r="E27" s="53"/>
      <c r="F27" s="54"/>
      <c r="G27" s="55"/>
      <c r="H27" s="49"/>
      <c r="I27" s="49"/>
      <c r="J27" s="49"/>
      <c r="K27" s="49"/>
      <c r="L27" s="49"/>
      <c r="M27" s="50"/>
      <c r="N27" s="51"/>
      <c r="O27" s="52"/>
      <c r="P27" s="2"/>
    </row>
    <row r="28" spans="1:16" ht="24.95" hidden="1" customHeight="1">
      <c r="A28" s="82"/>
      <c r="B28" s="27" t="s">
        <v>24</v>
      </c>
      <c r="C28" s="28" t="s">
        <v>30</v>
      </c>
      <c r="D28" s="29"/>
      <c r="E28" s="53"/>
      <c r="F28" s="54"/>
      <c r="G28" s="55"/>
      <c r="H28" s="49"/>
      <c r="I28" s="49"/>
      <c r="J28" s="49"/>
      <c r="K28" s="49"/>
      <c r="L28" s="49"/>
      <c r="M28" s="50"/>
      <c r="N28" s="51"/>
      <c r="O28" s="52"/>
      <c r="P28" s="2"/>
    </row>
    <row r="29" spans="1:16" ht="24.95" hidden="1" customHeight="1">
      <c r="A29" s="82"/>
      <c r="B29" s="27" t="s">
        <v>24</v>
      </c>
      <c r="C29" s="28" t="s">
        <v>31</v>
      </c>
      <c r="D29" s="29"/>
      <c r="E29" s="53"/>
      <c r="F29" s="54"/>
      <c r="G29" s="55"/>
      <c r="H29" s="49"/>
      <c r="I29" s="49"/>
      <c r="J29" s="49"/>
      <c r="K29" s="49"/>
      <c r="L29" s="49"/>
      <c r="M29" s="50"/>
      <c r="N29" s="51"/>
      <c r="O29" s="52"/>
      <c r="P29" s="2"/>
    </row>
    <row r="30" spans="1:16" ht="24.95" hidden="1" customHeight="1">
      <c r="A30" s="82"/>
      <c r="B30" s="27" t="s">
        <v>24</v>
      </c>
      <c r="C30" s="28" t="s">
        <v>32</v>
      </c>
      <c r="D30" s="29"/>
      <c r="E30" s="53"/>
      <c r="F30" s="54"/>
      <c r="G30" s="55"/>
      <c r="H30" s="49"/>
      <c r="I30" s="49"/>
      <c r="J30" s="49"/>
      <c r="K30" s="49"/>
      <c r="L30" s="49"/>
      <c r="M30" s="50"/>
      <c r="N30" s="51"/>
      <c r="O30" s="52"/>
      <c r="P30" s="2"/>
    </row>
    <row r="31" spans="1:16" ht="24.95" hidden="1" customHeight="1">
      <c r="A31" s="83"/>
      <c r="B31" s="27" t="s">
        <v>24</v>
      </c>
      <c r="C31" s="28" t="s">
        <v>33</v>
      </c>
      <c r="D31" s="56"/>
      <c r="E31" s="53"/>
      <c r="F31" s="54"/>
      <c r="G31" s="55"/>
      <c r="H31" s="49"/>
      <c r="I31" s="49"/>
      <c r="J31" s="49"/>
      <c r="K31" s="49"/>
      <c r="L31" s="49"/>
      <c r="M31" s="50"/>
      <c r="N31" s="51"/>
      <c r="O31" s="52"/>
      <c r="P31" s="2"/>
    </row>
    <row r="32" spans="1:16" ht="320" customHeight="1">
      <c r="A32" s="57">
        <v>1</v>
      </c>
      <c r="B32" s="78" t="s">
        <v>43</v>
      </c>
      <c r="C32" s="79"/>
      <c r="D32" s="80"/>
      <c r="E32" s="58">
        <v>1</v>
      </c>
      <c r="F32" s="59" t="s">
        <v>39</v>
      </c>
      <c r="G32" s="60" t="s">
        <v>45</v>
      </c>
      <c r="H32" s="58" t="s">
        <v>40</v>
      </c>
      <c r="I32" s="61">
        <v>1</v>
      </c>
      <c r="J32" s="62">
        <v>46300</v>
      </c>
      <c r="K32" s="62">
        <v>46300</v>
      </c>
      <c r="L32" s="62">
        <v>46305</v>
      </c>
      <c r="M32" s="62">
        <v>46305</v>
      </c>
      <c r="N32" s="63"/>
      <c r="O32" s="64"/>
      <c r="P32" s="65" t="s">
        <v>41</v>
      </c>
    </row>
    <row r="33" spans="1:16" ht="180" customHeight="1">
      <c r="A33" s="84">
        <v>2</v>
      </c>
      <c r="B33" s="84" t="s">
        <v>44</v>
      </c>
      <c r="C33" s="84"/>
      <c r="D33" s="84"/>
      <c r="E33" s="85">
        <v>1</v>
      </c>
      <c r="F33" s="87" t="s">
        <v>39</v>
      </c>
      <c r="G33" s="88" t="s">
        <v>46</v>
      </c>
      <c r="H33" s="66" t="s">
        <v>40</v>
      </c>
      <c r="I33" s="90">
        <v>0</v>
      </c>
      <c r="J33" s="92">
        <v>46307</v>
      </c>
      <c r="K33" s="92">
        <v>46307</v>
      </c>
      <c r="L33" s="92">
        <v>46312</v>
      </c>
      <c r="M33" s="92">
        <v>46312</v>
      </c>
      <c r="N33" s="63"/>
      <c r="O33" s="64"/>
      <c r="P33" s="65" t="s">
        <v>42</v>
      </c>
    </row>
    <row r="34" spans="1:16" ht="179.1" customHeight="1">
      <c r="A34" s="84"/>
      <c r="B34" s="84"/>
      <c r="C34" s="84"/>
      <c r="D34" s="84"/>
      <c r="E34" s="86"/>
      <c r="F34" s="87"/>
      <c r="G34" s="89"/>
      <c r="H34" s="67"/>
      <c r="I34" s="91"/>
      <c r="J34" s="93"/>
      <c r="K34" s="93"/>
      <c r="L34" s="93"/>
      <c r="M34" s="93"/>
      <c r="N34" s="63"/>
      <c r="O34" s="64"/>
      <c r="P34" s="65"/>
    </row>
    <row r="35" spans="1:16" ht="23.25" customHeight="1">
      <c r="A35" s="2"/>
      <c r="B35" s="2"/>
      <c r="C35" s="2"/>
      <c r="E35" s="68"/>
      <c r="F35" s="2"/>
      <c r="G35" s="2"/>
      <c r="H35" s="2"/>
      <c r="J35" s="2"/>
      <c r="K35" s="2"/>
      <c r="L35" s="2"/>
      <c r="M35" s="2"/>
      <c r="N35" s="2"/>
      <c r="O35" s="2"/>
      <c r="P35" s="2"/>
    </row>
    <row r="36" spans="1:16" ht="28.5" customHeight="1">
      <c r="A36" s="2"/>
      <c r="B36" s="2"/>
      <c r="C36" s="2"/>
      <c r="E36" s="2"/>
      <c r="F36" s="2"/>
      <c r="G36" s="2"/>
      <c r="H36" s="2"/>
      <c r="I36" s="2"/>
      <c r="J36" s="2"/>
      <c r="K36" s="2"/>
      <c r="L36" s="2"/>
      <c r="M36" s="2"/>
      <c r="N36" s="2"/>
      <c r="O36" s="2"/>
      <c r="P36" s="2"/>
    </row>
    <row r="37" spans="1:16" ht="23.25" customHeight="1">
      <c r="A37" s="2"/>
      <c r="B37" s="2"/>
      <c r="C37" s="2"/>
      <c r="E37" s="2"/>
      <c r="F37" s="2"/>
      <c r="G37" s="2"/>
      <c r="H37" s="2"/>
      <c r="J37" s="2"/>
      <c r="K37" s="2"/>
      <c r="L37" s="2"/>
      <c r="M37" s="2"/>
      <c r="N37" s="2"/>
      <c r="O37" s="2"/>
      <c r="P37" s="2"/>
    </row>
    <row r="38" spans="1:16" ht="31.5" customHeight="1">
      <c r="A38" s="2"/>
      <c r="B38" s="2"/>
      <c r="C38" s="2"/>
      <c r="E38" s="2"/>
      <c r="F38" s="2"/>
    </row>
    <row r="39" spans="1:16" ht="24.95" customHeight="1">
      <c r="A39" s="2"/>
      <c r="B39" s="2"/>
      <c r="C39" s="2"/>
      <c r="E39" s="2"/>
      <c r="F39" s="2"/>
    </row>
    <row r="40" spans="1:16" ht="24.95" customHeight="1">
      <c r="A40" s="2"/>
      <c r="B40" s="2"/>
      <c r="C40" s="2"/>
      <c r="E40" s="2"/>
      <c r="F40" s="2"/>
    </row>
  </sheetData>
  <autoFilter ref="A7:O34" xr:uid="{00000000-0009-0000-0000-000000000000}"/>
  <mergeCells count="22">
    <mergeCell ref="J33:J34"/>
    <mergeCell ref="K33:K34"/>
    <mergeCell ref="L33:L34"/>
    <mergeCell ref="M33:M34"/>
    <mergeCell ref="B33:D34"/>
    <mergeCell ref="A33:A34"/>
    <mergeCell ref="E33:E34"/>
    <mergeCell ref="F33:F34"/>
    <mergeCell ref="G33:G34"/>
    <mergeCell ref="I33:I34"/>
    <mergeCell ref="B8:C8"/>
    <mergeCell ref="B16:C16"/>
    <mergeCell ref="B24:C24"/>
    <mergeCell ref="B32:D32"/>
    <mergeCell ref="A8:A15"/>
    <mergeCell ref="A16:A23"/>
    <mergeCell ref="A24:A31"/>
    <mergeCell ref="A1:C1"/>
    <mergeCell ref="D1:O1"/>
    <mergeCell ref="D2:O2"/>
    <mergeCell ref="A6:M6"/>
    <mergeCell ref="B7:D7"/>
  </mergeCells>
  <hyperlinks>
    <hyperlink ref="P33" r:id="rId1" xr:uid="{00000000-0004-0000-0000-000000000000}"/>
    <hyperlink ref="P32" r:id="rId2" xr:uid="{00000000-0004-0000-0000-000001000000}"/>
  </hyperlinks>
  <printOptions horizontalCentered="1"/>
  <pageMargins left="0.59055118110236204" right="0.59055118110236204" top="0.59055118110236204" bottom="0.59055118110236204" header="0.196850393700787" footer="0.196850393700787"/>
  <pageSetup paperSize="9" scale="44" fitToHeight="0" orientation="landscape"/>
  <headerFooter>
    <oddHeader>&amp;L&amp;"+,Italic"&amp;8&amp;K7030A0WEEKLY REPORT</oddHeader>
    <oddFooter>&amp;R&amp;"+,Italic"&amp;8&amp;K7030A0Page &amp;P of &amp;N</oddFooter>
  </headerFooter>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DataMashup xmlns="http://schemas.microsoft.com/DataMashup">AAAAAB0EAABQSwMECgAAAAAAh07iQAAAAAAAAAAAAAAAAAcAAABDb25maWcvUEsDBBQAAAAIAIdO4kASOP6YnwAAAPMAAAASAAAAQ29uZmlnL1BhY2thZ2UueG1shY9NC4IwHMa/iuzuNmdRyN958JoRBNF1zDVHOsPNJn36jDK6dXtefofngWLq2uiuBmd6m6MEUxQpK/vaWJ2j0V/iLSo4HIS8Cq2iGbYum1ydo8b7W0ZICAGHFPeDJozShJyr3VE2qhPoC5v/cGys88JKhTic3mM4w8lqg9N1iimQJYTK2EUzzOa9r/YnhHJs/Tgo/mjicg9ksUA+H/gTUEsDBAoAAAAAAIdO4kAAAAAAAAAAAAAAAAAJAAAARm9ybXVsYXMvUEsDBBQAAAAIAIdO4kC+nWazvwAAAB0BAAATAAAARm9ybXVsYXMvU2VjdGlvbjEubV2PQQuCQBCF74L/YdguCiJ4lk5Sxw4ZdIgOq00prjuxO1Ih/vfWloqay8CbN9+bsVhzSxpK37M8DMLANtLgCXayUpjBEhRyGICrkgZTo1NW9xpVWgzGoOY9ma4i6qJ4PGxkj0vhN8VxOhSk2VmOiQcsRNFIfZnhjysKR3pZ052R2p7J9AWpodfz0EY+LRlH4dVMJMBuAox3nqb4w1y3inG+eEs3+4WWqNxXsxb95SaAsm6AzYBxGLT6fdwvKH8CUEsDBBQAAAAIAIdO4kB/v9PKnQAAAOQAAAATAAAAW0NvbnRlbnRfVHlwZXNdLnhtbG2PSw7CMAxErxJ5n7qwQAg17aJwAy4QBfcjmo8aF4Xbk9AdYunxPM+46ZJdxIvWOHun4FDVIMgZ/5jdqGDjQZ6ha5v7O1AU2eqigok5XBCjmcjqWPlALm8Gv1rNeVxHDNo89Uh4rOsTGu+YHEsuN6BtrjTobWFxS1neYzMOot99JUoBU2IsMv4F7I9dh7DMRnN+ApO0UdoC4rd2+wFQSwECFAAUAAAACACHTuJAf7/Typ0AAADkAAAAEwAAAAAAAAABACAAAAALAgAAW0NvbnRlbnRfVHlwZXNdLnhtbFBLAQIUAAoAAAAAAIdO4kAAAAAAAAAAAAAAAAAHAAAAAAAAAAAAEAAAAAAAAABDb25maWcvUEsBAhQAFAAAAAgAh07iQBI4/pifAAAA8wAAABIAAAAAAAAAAQAgAAAAJQAAAENvbmZpZy9QYWNrYWdlLnhtbFBLAQIUAAoAAAAAAIdO4kAAAAAAAAAAAAAAAAAJAAAAAAAAAAAAEAAAAPQAAABGb3JtdWxhcy9QSwECFAAUAAAACACHTuJAvp1ms78AAAAdAQAAEwAAAAAAAAABACAAAAAbAQAARm9ybXVsYXMvU2VjdGlvbjEubVBLBQYAAAAABQAFAC4BAADZAgAAAAAOAQAAPD94bWwgdmVyc2lvbj0iMS4wIiBlbmNvZGluZz0idXRmLTgiID8+PFBlcm1pc3Npb25MaXN0IHhtbG5zOnhzZD0iaHR0cDovL3d3dy53My5vcmcvMjAwMS9YTUxTY2hlbWEiIHhtbG5zOnhzaT0iaHR0cDovL3d3dy53My5vcmcvMjAwMS9YTUxTY2hlbWEtaW5zdGFuY2UiPjxDYW5FdmFsdWF0ZUZ1dHVyZVBhY2thZ2VzPmZhbHNlPC9DYW5FdmFsdWF0ZUZ1dHVyZVBhY2thZ2VzPjxGaXJld2FsbEVuYWJsZWQ+dHJ1ZTwvRmlyZXdhbGxFbmFibGVkPjwvUGVybWlzc2lvbkxpc3Q+pwMAAAAAAACFAwAAPD94bWwgdmVyc2lvbj0iMS4wIiBlbmNvZGluZz0idXRmLTgiID8+PExvY2FsUGFja2FnZU1ldGFkYXRhRmlsZSB4bWxuczp4c2Q9Imh0dHA6Ly93d3cudzMub3JnLzIwMDEvWE1MU2NoZW1hIiB4bWxuczp4c2k9Imh0dHA6Ly93d3cudzMub3JnLzIwMDEvWE1MU2NoZW1hLWluc3RhbmNlIj48SXRlbXM+PEl0ZW0+PEl0ZW1Mb2NhdGlvbj48SXRlbVR5cGU+QWxsRm9ybXVsYXM8L0l0ZW1UeXBlPjxJdGVtUGF0aCAvPjwvSXRlbUxvY2F0aW9uPjxTdGFibGVFbnRyaWVzIC8+PC9JdGVtPjxJdGVtPjxJdGVtTG9jYXRpb24+PEl0ZW1UeXBlPkZvcm11bGE8L0l0ZW1UeXBlPjxJdGVtUGF0aD5TZWN0aW9uMS9UYWJsZTE8L0l0ZW1QYXRoPjwvSXRlbUxvY2F0aW9uPjxTdGFibGVFbnRyaWVzPjxFbnRyeSBUeXBlPSJJc1ByaXZhdGUiIFZhbHVlPSJsMCIgLz48RW50cnkgVHlwZT0iRmlsbEVuYWJsZWQiIFZhbHVlPSJsMCIgLz48RW50cnkgVHlwZT0iRmlsbE9iamVjdFR5cGUiIFZhbHVlPSJzQ29ubmVjdGlvbk9ubHkiIC8+PEVudHJ5IFR5cGU9IlF1ZXJ5SUQiIFZhbHVlPSJzOWYyOWNhNzgtZDFiMi00NDJmLTkzOGMtYTBkZWMyZGM4ZmYxIiAvPjxFbnRyeSBUeXBlPSJSZXN1bHRUeXBlIiBWYWx1ZT0ic1RhYmxlIiAvPjxFbnRyeSBUeXBlPSJGaWxsQ291bnQiIFZhbHVlPSJsMSIgLz48RW50cnkgVHlwZT0iRmlsbEVycm9yQ291bnQiIFZhbHVlPSJsMCIgLz48RW50cnkgVHlwZT0iRmlsbExhc3RVcGRhdGVkIiBWYWx1ZT0iZDIwMjQtMDUtMjJUMDc6MTI6MzYuODU2MDAwMFoiIC8+PEVudHJ5IFR5cGU9IkZpbGxDb2x1bW5OYW1lcyIgVmFsdWU9J3NbJnF1b3Q7Q29sdW1uMSZxdW90O10nIC8+PC9TdGFibGVFbnRyaWVzPjwvSXRlbT48L0l0ZW1zPjwvTG9jYWxQYWNrYWdlTWV0YWRhdGFGaWxlPhYAAABQSwUGAAAAAAAAAAAAAAAAAAAAAAAAJgEAAAEAAADQjJ3fARXREYx6AMBPwpfrAQAAAEdETNZX/KhEiiBDUklWhCYAAAAAAgAAAAAAEGYAAAABAAAgAAAAIcKDYzxVsWDSa9zGm+NfcnGo5UO0WHm5chOFgTymQokAAAAADoAAAAACAAAgAAAA0+S3KwCY3jEISOXXghLH3qHjDIdOyaoXz6EIwRbzIIlQAAAABvwVEt00C0P5Dp4zxVFiOoXoKlXhQG5+xuJerjVNzWaL7WXtNA3CfrmKdY+lmTJs+p8TyDalAZpcrVF9F1lWgr+q+PWH5kVHqpNjZtG+C4BAAAAAiR+h8eAINlNGVvZdIPrr/9DwqL5EgHpFXLIAxDbu2KHA6GGKw0rD0EWJg7rw2Up7AyVwwCqR/xDvYkMJdlZDRA==</DataMashup>
</file>

<file path=customXml/itemProps1.xml><?xml version="1.0" encoding="utf-8"?>
<ds:datastoreItem xmlns:ds="http://schemas.openxmlformats.org/officeDocument/2006/customXml" ds:itemID="{D51427FA-BCAD-423E-A8A5-5D59994229C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Weekly Report</vt:lpstr>
      <vt:lpstr>'Weekly Report'!Print_Titles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Quý Đạt Hoàng</cp:lastModifiedBy>
  <dcterms:created xsi:type="dcterms:W3CDTF">2024-05-23T01:26:00Z</dcterms:created>
  <dcterms:modified xsi:type="dcterms:W3CDTF">2026-10-05T04:38:54Z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1344F5FA0D20346457D6626A481D9028_42</vt:lpwstr>
  </property>
  <property fmtid="{D5CDD505-2E9C-101B-9397-08002B2CF9AE}" pid="3" name="KSOProductBuildVer">
    <vt:lpwstr>1033-12.1.0.28485</vt:lpwstr>
  </property>
  <property fmtid="{D5CDD505-2E9C-101B-9397-08002B2CF9AE}" pid="4" name="CalculationRule">
    <vt:i4>0</vt:i4>
  </property>
</Properties>
</file>