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62E0B0CC-E3F4-4181-85C1-9B197DF5F397}" xr6:coauthVersionLast="47" xr6:coauthVersionMax="47" xr10:uidLastSave="{00000000-0000-0000-0000-000000000000}"/>
  <bookViews>
    <workbookView xWindow="-28920" yWindow="-120" windowWidth="29040" windowHeight="15840" tabRatio="938" xr2:uid="{00000000-000D-0000-FFFF-FFFF00000000}"/>
  </bookViews>
  <sheets>
    <sheet name="Tổng quan" sheetId="1" r:id="rId1"/>
    <sheet name="ShareDataPartner" sheetId="2" r:id="rId2"/>
    <sheet name="ShareDataSubscription" sheetId="3" r:id="rId3"/>
    <sheet name="ShareDataSession" sheetId="4" r:id="rId4"/>
    <sheet name="ShareDataActivityLog" sheetId="5" r:id="rId5"/>
    <sheet name="ShareDataEventSource" sheetId="6" r:id="rId6"/>
    <sheet name="ShareDataPacket" sheetId="7" r:id="rId7"/>
    <sheet name="ShareDataPacketTable" sheetId="8" r:id="rId8"/>
    <sheet name="ShareDataCodeSet" sheetId="9" r:id="rId9"/>
    <sheet name="ShareDataMapping" sheetId="10" r:id="rId10"/>
    <sheet name="ShareDataAlertLog" sheetId="11" r:id="rId11"/>
    <sheet name="JSON - ScheduleJson" sheetId="12" r:id="rId12"/>
    <sheet name="JSON - FieldsJson" sheetId="13" r:id="rId13"/>
    <sheet name="JSON - ValuesJson" sheetId="14" r:id="rId14"/>
    <sheet name="JSON - ItemsJson" sheetId="15" r:id="rId15"/>
    <sheet name="Index &amp; ràng buộc" sheetId="16" r:id="rId16"/>
    <sheet name="Kiểm tra ở tầng code" sheetId="17" r:id="rId17"/>
    <sheet name="Việc cần chốt" sheetId="18" r:id="rId1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D22" i="1" l="1"/>
  <c r="D21" i="1"/>
  <c r="D20" i="1"/>
  <c r="D19" i="1"/>
  <c r="D18" i="1"/>
  <c r="D17" i="1"/>
  <c r="D16" i="1"/>
  <c r="D15" i="1"/>
  <c r="D14" i="1"/>
  <c r="D13" i="1"/>
</calcChain>
</file>

<file path=xl/sharedStrings.xml><?xml version="1.0" encoding="utf-8"?>
<sst xmlns="http://schemas.openxmlformats.org/spreadsheetml/2006/main" count="1584" uniqueCount="734">
  <si>
    <t>ESHARE — Toàn bộ bảng CSDL của phân hệ Chia sẻ dữ liệu</t>
  </si>
  <si>
    <t>Ngày lập: 20/08/2026 · Cấu trúc bảng đã có được đọc trực tiếp từ CSDL DEV_ITS10 · Bảng tạo mới theo thiết kế đã chốt</t>
  </si>
  <si>
    <t>5 bảng ĐÃ CÓ (giữ nguyên hoặc ALTER nhẹ) · 5 bảng TẠO MỚI · 2 bảng BỎ</t>
  </si>
  <si>
    <t>• Mọi bảng ShareData đều rỗng, trừ ShareDataPartner (4 dòng) và ShareDataSubscription (5 dòng) ⇒ không cần script migrate, DROP và tạo lại là xong.</t>
  </si>
  <si>
    <t>• ShareDataPartner và ShareDataSubscription KHÔNG ALTER dòng nào — ba cột PartnerId / DatatypeId / Direction có sẵn trên Subscription chính là khoá nối sang gói tin và ánh xạ.</t>
  </si>
  <si>
    <t>• Toàn bộ CSDL này KHÔNG có FOREIGN KEY nào; quan hệ do tầng service giữ. Bảng mới cũng không khai FK, chỉ khai index.</t>
  </si>
  <si>
    <t>• IsDelete kiểu datetime (xoá mềm = ghi mốc thời gian), KHÔNG phải bit. Mọi bộ lọc và filtered index phải viết IsDelete IS NULL.</t>
  </si>
  <si>
    <t>• Chỉ ShareDataMapping có cột PartnerId trong nhóm bảng mới — mọi thứ riêng theo đối tác đều phải nằm ở đó, không rải sang bảng khác.</t>
  </si>
  <si>
    <t>STT</t>
  </si>
  <si>
    <t>Tên bảng</t>
  </si>
  <si>
    <t>Trạng thái</t>
  </si>
  <si>
    <t>Số cột</t>
  </si>
  <si>
    <t>Dùng để làm gì</t>
  </si>
  <si>
    <t>Tại sao ESHARE cần nó</t>
  </si>
  <si>
    <t>ShareDataPartner</t>
  </si>
  <si>
    <t>ĐÃ CÓ · giữ nguyên</t>
  </si>
  <si>
    <t>Đối tác chia sẻ dữ liệu và toàn bộ tham số kết nối C2C.</t>
  </si>
  <si>
    <t>Đang có 4 dòng dữ liệu thật. Thiết kế mới KHÔNG ALTER bảng này.</t>
  </si>
  <si>
    <t>ShareDataSubscription</t>
  </si>
  <si>
    <t>Đăng ký chia sẻ: đối tác × gói tin × chiều × lịch gửi. Kèm cột điều khiển bộ lập lịch.</t>
  </si>
  <si>
    <t>Đang có 5 dòng. Ba cột PartnerId / DatatypeId / Direction đã đủ làm khoá nối sang ShareDataMapping nên KHÔNG cần thêm cột nào.</t>
  </si>
  <si>
    <t>ShareDataSession</t>
  </si>
  <si>
    <t>Phiên kết nối C2C với đối tác và bộ đếm gói tin thời gian thực.</t>
  </si>
  <si>
    <t>Tầng kết nối, không liên quan tới thay đổi cấu trúc gói tin lần này.</t>
  </si>
  <si>
    <t>ShareDataActivityLog</t>
  </si>
  <si>
    <t>ĐÃ CÓ · ALTER (+3 cột)</t>
  </si>
  <si>
    <t>Nhật ký hoạt động hai tab: Cấu hình (ai sửa gì) và Truyền nhận (gói tin nào đã đi qua). Gánh luôn vai trò BẰNG CHỨNG xuất tệp.</t>
  </si>
  <si>
    <t>Tab TRANSFER đã có sẵn ByteSize / RecordCount / FilePath / Hash và Action đã khai sẵn giá trị EXPORT ⇒ tạo bảng ExportLog riêng là làm hai lần một việc. ⚠ Bảng này CHỈ GHI THÊM — không sửa, không xoá.</t>
  </si>
  <si>
    <t>ShareDataEventSource</t>
  </si>
  <si>
    <t>ĐÃ CÓ · ALTER (1 cột)</t>
  </si>
  <si>
    <t>Danh mục nguồn sự kiện nội bộ (chủ đề NATS) để kích hoạt gửi theo sự kiện.</t>
  </si>
  <si>
    <t>Chỉ nới kiểu DatatypeCode cho khớp ShareDataPacket.Code.</t>
  </si>
  <si>
    <t>ShareDataPacket</t>
  </si>
  <si>
    <t>TẠO MỚI</t>
  </si>
  <si>
    <t>Masterdata gói tin (101–111+). Mỗi dòng là một phiên bản của một gói tin.</t>
  </si>
  <si>
    <t>Thay danh mục shareData_type trong SysConfigType. Danh mục key-value chung không chứa được Version / Status / TopN và không có quan hệ với bảng nguồn.</t>
  </si>
  <si>
    <t>ShareDataPacketTable</t>
  </si>
  <si>
    <t>Các bảng vật lý tham gia một gói tin, kèm điều kiện join và danh sách field (FieldsJson).</t>
  </si>
  <si>
    <t>Mảnh thiếu chí mạng của thiết kế cũ: ShareDataDataSource chỉ khai được MỘT bảng, trong khi gói tin 101 cần ghép 3 bảng. Đây là chỗ định nghĩa gói tin gồm những gì.</t>
  </si>
  <si>
    <t>ShareDataCodeSet</t>
  </si>
  <si>
    <t>Bộ mã quy đổi giá trị: 1 → on, 0 → off; 1 → slow, 2 → normal…</t>
  </si>
  <si>
    <t>CSDL lưu mã số, đối tác cần chữ theo quy chuẩn. Tách riêng vì một bộ mã dùng lại được cho nhiều gói tin — nhét vào từng field thì khai lặp và sẽ lệch nhau.</t>
  </si>
  <si>
    <t>ShareDataMapping</t>
  </si>
  <si>
    <t>Hồ sơ ánh xạ cho một đối tác × gói tin × chiều. Chỉ ghi phần lệch chuẩn.</t>
  </si>
  <si>
    <t>Thay ShareDataMappingProfile. Khác biệt chính: bỏ DataSourceId (nguồn thuộc gói tin, không thuộc đối tác) nên thêm đối tác mới không phải khai lại nguồn và join.</t>
  </si>
  <si>
    <t>ShareDataAlertLog</t>
  </si>
  <si>
    <t>Cảnh báo và lỗi cần người xử lý, có vòng đời xác nhận.</t>
  </si>
  <si>
    <t>Màn 'Cảnh báo &amp; lỗi' hiện đang chạy mà KHÔNG có bảng nào phía sau.</t>
  </si>
  <si>
    <t>ShareDataDataSource</t>
  </si>
  <si>
    <t>BỎ (DROP)</t>
  </si>
  <si>
    <t>—</t>
  </si>
  <si>
    <t>(Cũ) Khai một bảng/view nguồn kèm danh sách cột được phép chia sẻ.</t>
  </si>
  <si>
    <t>Bỏ whitelist cột nên không còn vai trò. Ngoài ra nó chỉ khai được MỘT bảng, không đáp ứng được gói tin ghép nhiều bảng. 0 dòng dữ liệu nên xoá thoải mái.</t>
  </si>
  <si>
    <t>ShareDataMappingProfile</t>
  </si>
  <si>
    <t>(Cũ) Hồ sơ ánh xạ, có nhúng DataSourceId.</t>
  </si>
  <si>
    <t>Thay bằng ShareDataMapping. Nhúng nguồn vào hồ sơ đối tác khiến 10 đối tác phải khai lại nguồn 10 lần, và đổi join phải sửa 10 chỗ. 0 dòng dữ liệu.</t>
  </si>
  <si>
    <t>Sơ đồ quan hệ</t>
  </si>
  <si>
    <t>ShareDataCodeSet (+ValuesJson)</t>
  </si>
  <si>
    <t xml:space="preserve">        ▲ codeSetId (trong FieldsJson)</t>
  </si>
  <si>
    <t>ShareDataPacket ──1:N── ShareDataPacketTable (+FieldsJson)</t>
  </si>
  <si>
    <t xml:space="preserve">        │ Code                                    ▲ fieldKey</t>
  </si>
  <si>
    <t xml:space="preserve">        ▼                                         │ (trong ItemsJson)</t>
  </si>
  <si>
    <t>ShareDataMapping (+ItemsJson) ────────────────────┘</t>
  </si>
  <si>
    <t xml:space="preserve">        ▲ PartnerId</t>
  </si>
  <si>
    <t>ShareDataPartner ──1:N── ShareDataSubscription ──1:N── ShareDataSession</t>
  </si>
  <si>
    <t xml:space="preserve">                                  │</t>
  </si>
  <si>
    <t xml:space="preserve">                                  ├──► ShareDataActivityLog  (nhật ký + BẰNG CHỨNG)</t>
  </si>
  <si>
    <t xml:space="preserve">                                  └──► ShareDataAlertLog     (cảnh báo, sửa được)</t>
  </si>
  <si>
    <t>[ĐÃ CÓ · giữ nguyên]  Đối tác chia sẻ dữ liệu và toàn bộ tham số kết nối C2C.</t>
  </si>
  <si>
    <t>Tại sao ESHARE cần bảng này: Đang có 4 dòng dữ liệu thật. Thiết kế mới KHÔNG ALTER bảng này.</t>
  </si>
  <si>
    <t>Tên cột</t>
  </si>
  <si>
    <t>Kiểu dữ liệu</t>
  </si>
  <si>
    <t>Nhóm</t>
  </si>
  <si>
    <t>Tại sao cần nó</t>
  </si>
  <si>
    <t>ID</t>
  </si>
  <si>
    <t>nvarchar(64)</t>
  </si>
  <si>
    <t>Khoá chính</t>
  </si>
  <si>
    <t>Khoá chính.</t>
  </si>
  <si>
    <t>Tên cột viết HOA hai chữ theo quy ước sẵn có.</t>
  </si>
  <si>
    <t>Name</t>
  </si>
  <si>
    <t>nvarchar(128)</t>
  </si>
  <si>
    <t>Tên đối tác, VD 'Trung tâm QLĐHGT Quốc gia'.</t>
  </si>
  <si>
    <t>Hiển thị khắp nơi trong phân hệ; mã đối tác quá ngắn để người vận hành nhận ra.</t>
  </si>
  <si>
    <t>Address</t>
  </si>
  <si>
    <t>Giao thức</t>
  </si>
  <si>
    <t>Địa chỉ IP hoặc host máy chủ kết nối của đối tác.</t>
  </si>
  <si>
    <t>Điểm đến vật lý của kênh C2C. Không có thì không mở được kết nối.</t>
  </si>
  <si>
    <t>Port</t>
  </si>
  <si>
    <t>int</t>
  </si>
  <si>
    <t>Cổng TCP.</t>
  </si>
  <si>
    <t>Đi cùng Address để xác định điểm kết nối.</t>
  </si>
  <si>
    <t>ProtocolProfile</t>
  </si>
  <si>
    <t>nvarchar(16)</t>
  </si>
  <si>
    <t>ASN | XML_A — hồ sơ mã hoá dữ liệu.</t>
  </si>
  <si>
    <t>TCVN 13600-2 dùng ASN.1, 13600-3 dùng XML Profile A. Hai bên phải thống nhất trước khi trao đổi, nếu không giải mã sai.</t>
  </si>
  <si>
    <t>Username</t>
  </si>
  <si>
    <t>Tên đăng nhập gửi trong gói Login.</t>
  </si>
  <si>
    <t>Giao thức C2C xác thực bằng cặp user/password ngay ở gói tin đầu tiên.</t>
  </si>
  <si>
    <t>PasswordHash</t>
  </si>
  <si>
    <t>nvarchar(256)</t>
  </si>
  <si>
    <t>Mật khẩu đã băm.</t>
  </si>
  <si>
    <t>Không lưu mật khẩu thô. Giao diện chỉ gửi lên khi tạo hoặc đổi, không bao giờ nhận lại.</t>
  </si>
  <si>
    <t>InitiatorMode</t>
  </si>
  <si>
    <t>nvarchar(32)</t>
  </si>
  <si>
    <t>clientInitiated | serverInitiated.</t>
  </si>
  <si>
    <t>Quy định bên nào chủ động mở kết nối. Cả hai cùng chủ động thì tạo phiên trùng; cả hai cùng chờ thì không bao giờ kết nối.</t>
  </si>
  <si>
    <t>HeartbeatMaxSec</t>
  </si>
  <si>
    <t>Nhịp tim tối đa (giây), khoảng hợp lệ 5–300.</t>
  </si>
  <si>
    <t>Tham số đàm phán lúc Login. Quá nhỏ thì tốn băng thông, quá lớn thì phát hiện đứt kết nối chậm.</t>
  </si>
  <si>
    <t>DatagramSize</t>
  </si>
  <si>
    <t>Kích thước datagram tối đa (byte).</t>
  </si>
  <si>
    <t>Đàm phán lúc Login. Gói tin lớn hơn mức này phải chia nhỏ.</t>
  </si>
  <si>
    <t>ResponseTimeoutSec</t>
  </si>
  <si>
    <t>Thời gian chờ phản hồi (giây), khoảng 3–60.</t>
  </si>
  <si>
    <t>Quá ngắn thì báo lỗi oan khi mạng chậm; quá dài thì treo tài nguyên.</t>
  </si>
  <si>
    <t>UseTls</t>
  </si>
  <si>
    <t>bit</t>
  </si>
  <si>
    <t>Bật TLS cho kênh truyền.</t>
  </si>
  <si>
    <t>Bắt buộc khi kênh đi qua Internet công cộng.</t>
  </si>
  <si>
    <t>Status</t>
  </si>
  <si>
    <t>Khoá nghiệp vụ</t>
  </si>
  <si>
    <t>1 = đang dùng · 0 = ngừng dùng.</t>
  </si>
  <si>
    <t>Quyết định HÀNH CHÍNH: đối tác này còn được phép trao đổi dữ liệu không. Khác hẳn SessionState bên dưới.</t>
  </si>
  <si>
    <t>SessionState</t>
  </si>
  <si>
    <t>1 = đã kết nối · 0 = chưa kết nối.</t>
  </si>
  <si>
    <t>Sự thật VẬT LÝ tại thời điểm hiện tại. Tách khỏi Status vì một đối tác được phép dùng vẫn có thể đang mất kết nối, và ngược lại.</t>
  </si>
  <si>
    <t>OrderNo</t>
  </si>
  <si>
    <t>Thứ tự hiển thị.</t>
  </si>
  <si>
    <t>Đưa đối tác quan trọng lên đầu danh sách.</t>
  </si>
  <si>
    <t>Remark</t>
  </si>
  <si>
    <t>Cột chuẩn</t>
  </si>
  <si>
    <t>Ghi chú tự do của người nhập.</t>
  </si>
  <si>
    <t>Cột chuẩn có ở mọi bảng ShareData — giữ để đồng bộ.</t>
  </si>
  <si>
    <t>TenantId</t>
  </si>
  <si>
    <t>Mã đơn vị (multi-tenant).</t>
  </si>
  <si>
    <t>Khung ứng dụng dùng cột này để phân tách dữ liệu giữa các đơn vị.</t>
  </si>
  <si>
    <t>Code</t>
  </si>
  <si>
    <t>Mã bản ghi do người dùng đặt.</t>
  </si>
  <si>
    <t>Cột chuẩn của khung. Ở một số bảng nó mang nghĩa nghiệp vụ — xem ghi chú riêng.</t>
  </si>
  <si>
    <t>CreateTime</t>
  </si>
  <si>
    <t>datetime</t>
  </si>
  <si>
    <t>Thời điểm tạo bản ghi.</t>
  </si>
  <si>
    <t>Cột chuẩn; đồng thời là khoá của index index_&lt;Bảng&gt;_CT.</t>
  </si>
  <si>
    <t>CreateUId</t>
  </si>
  <si>
    <t>Người tạo.</t>
  </si>
  <si>
    <t>Cột chuẩn, truy trách nhiệm.</t>
  </si>
  <si>
    <t>UpdateTime</t>
  </si>
  <si>
    <t>Thời điểm sửa gần nhất.</t>
  </si>
  <si>
    <t>Cột chuẩn. Còn dùng để phát hiện hai người sửa cùng một bản ghi.</t>
  </si>
  <si>
    <t>UpdateUId</t>
  </si>
  <si>
    <t>Người sửa gần nhất.</t>
  </si>
  <si>
    <t>RowStatus</t>
  </si>
  <si>
    <t>Trạng thái dòng theo quy ước khung.</t>
  </si>
  <si>
    <t>Cột chuẩn có ở mọi bảng ShareData.</t>
  </si>
  <si>
    <t>IsDelete</t>
  </si>
  <si>
    <t>Xoá mềm — GHI MỐC THỜI GIAN, không phải cờ true/false. Chưa xoá = NULL.</t>
  </si>
  <si>
    <t>⚠ Khác thông lệ: kiểu datetime chứ không phải bit. Mọi bộ lọc phải viết IsDelete IS NULL, và mọi filtered index phải kèm WHERE IsDelete IS NULL.</t>
  </si>
  <si>
    <t>[ĐÃ CÓ · giữ nguyên]  Đăng ký chia sẻ: đối tác × gói tin × chiều × lịch gửi. Kèm cột điều khiển bộ lập lịch.</t>
  </si>
  <si>
    <t>Tại sao ESHARE cần bảng này: Đang có 5 dòng. Ba cột PartnerId / DatatypeId / Direction đã đủ làm khoá nối sang ShareDataMapping nên KHÔNG cần thêm cột nào.</t>
  </si>
  <si>
    <t>Quy ước khung.</t>
  </si>
  <si>
    <t>PartnerId</t>
  </si>
  <si>
    <t>Đối tác của đăng ký này.</t>
  </si>
  <si>
    <t>Một trong ba cột tạo thành khoá tra cứu ánh xạ lúc chạy. ĐÃ CÓ SẴN nên không phải thêm cột nào vào bảng này.</t>
  </si>
  <si>
    <t>SessionId</t>
  </si>
  <si>
    <t>Phiên kết nối gắn với đăng ký.</t>
  </si>
  <si>
    <t>Truy ngược về phiên khi cần điều tra sự cố truyền nhận.</t>
  </si>
  <si>
    <t>Direction</t>
  </si>
  <si>
    <t>OUTBOUND | INBOUND.</t>
  </si>
  <si>
    <t>⚠ NGHĨA ĐANG MÂU THUẪN trong mã nguồn: type ghi 'OUTBOUND = mình đăng ký nhận', giao diện hiển thị 'OUTBOUND = Gửi đi'. Phải chốt trước khi code — chọn nhầm là sai toàn bộ luồng vì chiều gửi đọc nguồn nội bộ còn chiều nhận thì không.</t>
  </si>
  <si>
    <t>SerialNbr</t>
  </si>
  <si>
    <t>Số thứ tự tăng dần theo giao thức.</t>
  </si>
  <si>
    <t>ISO 14827-2 dùng số này để đối tác phát hiện gói tin bị mất hoặc trùng.</t>
  </si>
  <si>
    <t>DatatypeId</t>
  </si>
  <si>
    <t>Mã gói tin.</t>
  </si>
  <si>
    <t>Khoá nối sang ShareDataPacket.Code. Đây là lý do Packet.Code phải là nvarchar(32) chứ không phải 64 — lệch kiểu khi join gây implicit conversion và mất index.</t>
  </si>
  <si>
    <t>Mode</t>
  </si>
  <si>
    <t>Lịch chạy</t>
  </si>
  <si>
    <t>SINGLE | EVENT | PERIODIC.</t>
  </si>
  <si>
    <t>Quyết định cái gì kích hoạt việc gửi: một lần, theo sự kiện, hay theo lịch.</t>
  </si>
  <si>
    <t>ScheduleJson</t>
  </si>
  <si>
    <t>nvarchar(max)</t>
  </si>
  <si>
    <t>JSON</t>
  </si>
  <si>
    <t>Lịch gửi. Xem sheet 'JSON - ScheduleJson'.</t>
  </si>
  <si>
    <t>Lịch có hai dạng (liên tục theo chu kỳ / theo ngày trong tuần) với bộ trường khác nhau — để JSON gọn hơn là thêm chục cột mà mỗi dạng chỉ dùng một nửa.</t>
  </si>
  <si>
    <t>Format</t>
  </si>
  <si>
    <t>nvarchar(8)</t>
  </si>
  <si>
    <t>DATA | FILE.</t>
  </si>
  <si>
    <t>Gửi dữ liệu trực tiếp trong gói tin hay đóng gói thành tệp.</t>
  </si>
  <si>
    <t>Priority</t>
  </si>
  <si>
    <t>Độ ưu tiên 0–10.</t>
  </si>
  <si>
    <t>Khi hàng đợi gửi bị dồn, gói tin ưu tiên cao đi trước.</t>
  </si>
  <si>
    <t>Guaranteed</t>
  </si>
  <si>
    <t>Yêu cầu bảo đảm nhận.</t>
  </si>
  <si>
    <t>Bật thì phải chờ xác nhận từ đối tác, chưa xác nhận thì gửi lại.</t>
  </si>
  <si>
    <t>Persistent</t>
  </si>
  <si>
    <t>Tự đăng ký lại sau khi kết nối lại.</t>
  </si>
  <si>
    <t>Không bật thì mỗi lần rớt mạng người vận hành phải tạo lại đăng ký bằng tay.</t>
  </si>
  <si>
    <t>State</t>
  </si>
  <si>
    <t>0=Chờ · 1=Đang chạy · 2=Tạm dừng · 3=Từ chối · 4=Huỷ · 5=Hết hạn.</t>
  </si>
  <si>
    <t>Vòng đời đàm phán của đăng ký. Đăng ký chiều nhận vào cần được duyệt trước khi chạy.</t>
  </si>
  <si>
    <t>RejectReason</t>
  </si>
  <si>
    <t>Lý do từ chối.</t>
  </si>
  <si>
    <t>Đối tác cần biết vì sao bị từ chối.</t>
  </si>
  <si>
    <t>CancelReason</t>
  </si>
  <si>
    <t>Lý do huỷ.</t>
  </si>
  <si>
    <t>Ghi vết khi ngừng một đăng ký đang chạy.</t>
  </si>
  <si>
    <t>RequestedAt</t>
  </si>
  <si>
    <t>Thời điểm yêu cầu.</t>
  </si>
  <si>
    <t>Đo thời gian chờ duyệt.</t>
  </si>
  <si>
    <t>ResolvedAt</t>
  </si>
  <si>
    <t>Thời điểm duyệt hoặc từ chối.</t>
  </si>
  <si>
    <t>Đo thời gian phản hồi.</t>
  </si>
  <si>
    <t>ResolvedBy</t>
  </si>
  <si>
    <t>Người duyệt.</t>
  </si>
  <si>
    <t>Truy trách nhiệm phê duyệt chia sẻ dữ liệu.</t>
  </si>
  <si>
    <t>DataSourceId</t>
  </si>
  <si>
    <t>NGỪNG DÙNG</t>
  </si>
  <si>
    <t>NGỪNG DÙNG — luôn để NULL.</t>
  </si>
  <si>
    <t>Thiết kế mới đặt nguồn dữ liệu ở GÓI TIN, không ở đăng ký. Không drop được vì bảng này giữ nguyên; ghi rõ để không ai dùng nhầm. Hiện đã NULL cả 5 dòng.</t>
  </si>
  <si>
    <t>MappingProfileId</t>
  </si>
  <si>
    <t>Ánh xạ được giải theo bộ ba (PartnerId, DatatypeId, Direction) tại thời điểm chạy. Ghim sẵn ID sẽ lỗi thời khi có phiên bản ánh xạ mới.</t>
  </si>
  <si>
    <t>EventSourceId</t>
  </si>
  <si>
    <t>VẪN DÙNG — nguồn sự kiện kích hoạt khi Mode = EVENT.</t>
  </si>
  <si>
    <t>Nguồn kích hoạt là lựa chọn riêng của từng đăng ký, không thuộc gói tin.</t>
  </si>
  <si>
    <t>DebounceSec</t>
  </si>
  <si>
    <t>Giãn cách tối thiểu giữa hai lần gửi khi chạy theo sự kiện.</t>
  </si>
  <si>
    <t>Chống dội: sự kiện bắn liên tục thì không gửi liên tục.</t>
  </si>
  <si>
    <t>RunStatus</t>
  </si>
  <si>
    <t>Trạng thái chạy của bộ lập lịch.</t>
  </si>
  <si>
    <t>Bộ lập lịch phía backend đã có sẵn và dùng cột này — thiết kế mới bám vào đây, không tạo cơ chế lập lịch thứ hai.</t>
  </si>
  <si>
    <t>IntervalSeconds</t>
  </si>
  <si>
    <t>Chu kỳ chạy (giây).</t>
  </si>
  <si>
    <t>Bộ lập lịch dùng để tính lần chạy kế.</t>
  </si>
  <si>
    <t>NextTimeRun</t>
  </si>
  <si>
    <t>Lần chạy kế tiếp.</t>
  </si>
  <si>
    <t>Đây là cột bộ lập lịch quét để biết đăng ký nào đến hạn gửi.</t>
  </si>
  <si>
    <t>LastTimeRun</t>
  </si>
  <si>
    <t>Lần chạy gần nhất.</t>
  </si>
  <si>
    <t>Đối chiếu khi nghi ngờ bỏ nhịp.</t>
  </si>
  <si>
    <t>[ĐÃ CÓ · giữ nguyên]  Phiên kết nối C2C với đối tác và bộ đếm gói tin thời gian thực.</t>
  </si>
  <si>
    <t>Tại sao ESHARE cần bảng này: Tầng kết nối, không liên quan tới thay đổi cấu trúc gói tin lần này.</t>
  </si>
  <si>
    <t>Tham chiếu</t>
  </si>
  <si>
    <t>Đối tác của phiên.</t>
  </si>
  <si>
    <t>Một đối tác có nhiều phiên theo thời gian.</t>
  </si>
  <si>
    <t>OUT | IN — chiều của phiên.</t>
  </si>
  <si>
    <t>Phân biệt phiên do mình mở hay đối tác mở tới.</t>
  </si>
  <si>
    <t>IDLE · CONNECTING · LOGIN_WAIT · ACTIVE · CLOSING · CLOSED · RECONNECT_WAIT · REJECTED · TIMEOUT.</t>
  </si>
  <si>
    <t>Máy trạng thái của giao thức C2C. Chỉ trạng thái ACTIVE mới gửi nhận được dữ liệu.</t>
  </si>
  <si>
    <t>StartedAt</t>
  </si>
  <si>
    <t>Thời điểm bắt đầu.</t>
  </si>
  <si>
    <t>Mốc tính thời lượng phiên.</t>
  </si>
  <si>
    <t>AcceptedAt</t>
  </si>
  <si>
    <t>Thời điểm đối tác chấp nhận Login.</t>
  </si>
  <si>
    <t>Khoảng cách với StartedAt cho biết đàm phán mất bao lâu.</t>
  </si>
  <si>
    <t>EndedAt</t>
  </si>
  <si>
    <t>Thời điểm kết thúc.</t>
  </si>
  <si>
    <t>Mốc đóng phiên.</t>
  </si>
  <si>
    <t>EndReason</t>
  </si>
  <si>
    <t>Lý do kết thúc (reason-cd giao thức).</t>
  </si>
  <si>
    <t>Phân biệt đóng bình thường với đóng do lỗi — đầu vào cho cảnh báo.</t>
  </si>
  <si>
    <t>PacketsSent</t>
  </si>
  <si>
    <t>bigint</t>
  </si>
  <si>
    <t>Số gói đã gửi.</t>
  </si>
  <si>
    <t>Bộ đếm giám sát, hiển thị thời gian thực.</t>
  </si>
  <si>
    <t>PacketsRecv</t>
  </si>
  <si>
    <t>Số gói đã nhận.</t>
  </si>
  <si>
    <t>Bộ đếm giám sát.</t>
  </si>
  <si>
    <t>LastHeartbeatAt</t>
  </si>
  <si>
    <t>Nhịp tim gần nhất.</t>
  </si>
  <si>
    <t>Quá HeartbeatMaxSec mà chưa có nhịp mới thì coi như mất kết nối.</t>
  </si>
  <si>
    <t>HeartbeatRttMs</t>
  </si>
  <si>
    <t>Độ trễ vòng của nhịp tim (ms).</t>
  </si>
  <si>
    <t>Chỉ báo sức khoẻ đường truyền trước khi nó đứt hẳn.</t>
  </si>
  <si>
    <t>NegotiatedDatagramSize</t>
  </si>
  <si>
    <t>Kích thước datagram đã đàm phán được.</t>
  </si>
  <si>
    <t>Có thể nhỏ hơn mức khai trên đối tác vì hai bên lấy giá trị nhỏ hơn.</t>
  </si>
  <si>
    <t>[ĐÃ CÓ · ALTER (+3 cột)]  Nhật ký hoạt động hai tab: Cấu hình (ai sửa gì) và Truyền nhận (gói tin nào đã đi qua). Gánh luôn vai trò BẰNG CHỨNG xuất tệp.</t>
  </si>
  <si>
    <t>Tại sao ESHARE cần bảng này: Tab TRANSFER đã có sẵn ByteSize / RecordCount / FilePath / Hash và Action đã khai sẵn giá trị EXPORT ⇒ tạo bảng ExportLog riêng là làm hai lần một việc. ⚠ Bảng này CHỈ GHI THÊM — không sửa, không xoá.</t>
  </si>
  <si>
    <t>LogType</t>
  </si>
  <si>
    <t>CONFIG | TRANSFER.</t>
  </si>
  <si>
    <t>Một bảng chứa hai loại nhật ký khác hẳn nhau. Cột này quyết định bản ghi thuộc tab nào và bộ cột nào có nghĩa.</t>
  </si>
  <si>
    <t>Action</t>
  </si>
  <si>
    <t>CREATE · UPDATE · DELETE · CONNECT · DISCONNECT · PAUSE · RESUME · CANCEL · APPROVE · REJECT · SEND · RECEIVE · EXPORT.</t>
  </si>
  <si>
    <t>⚠ Giá trị EXPORT đã có sẵn — chính vì vậy không cần tạo bảng ExportLog riêng, bảng này gánh luôn vai trò bằng chứng xuất tệp.</t>
  </si>
  <si>
    <t>OccurredAt</t>
  </si>
  <si>
    <t>Thời điểm xảy ra.</t>
  </si>
  <si>
    <t>Khác CreateTime: sự việc có thể xảy ra trước lúc ghi nhận.</t>
  </si>
  <si>
    <t>SUCCESS | FAILED.</t>
  </si>
  <si>
    <t>Lọc nhanh các thao tác thất bại.</t>
  </si>
  <si>
    <t>Description</t>
  </si>
  <si>
    <t>nvarchar(512)</t>
  </si>
  <si>
    <t>Mô tả tiếng Việt do backend dựng sẵn.</t>
  </si>
  <si>
    <t>Giao diện hiển thị thẳng, không phải ghép câu ở phía client.</t>
  </si>
  <si>
    <t>ErrorMessage</t>
  </si>
  <si>
    <t>Thông báo lỗi.</t>
  </si>
  <si>
    <t>Chi tiết khi Status = FAILED.</t>
  </si>
  <si>
    <t>TargetType</t>
  </si>
  <si>
    <t>Tab Cấu hình</t>
  </si>
  <si>
    <t>Partner | Subscription | Session | Packet | Mapping…</t>
  </si>
  <si>
    <t>Loại đối tượng bị tác động, để lọc nhật ký theo nhóm.</t>
  </si>
  <si>
    <t>TargetId</t>
  </si>
  <si>
    <t>ID đối tượng bị tác động.</t>
  </si>
  <si>
    <t>Truy ngược về bản ghi gốc.</t>
  </si>
  <si>
    <t>TargetName</t>
  </si>
  <si>
    <t>Tên đối tượng tại thời điểm ghi.</t>
  </si>
  <si>
    <t>Lưu bản chụp tên: đối tượng có thể bị xoá hoặc đổi tên sau đó, nhật ký vẫn đọc được.</t>
  </si>
  <si>
    <t>Đối tác liên quan.</t>
  </si>
  <si>
    <t>Lọc nhật ký theo đối tác.</t>
  </si>
  <si>
    <t>PartnerName</t>
  </si>
  <si>
    <t>Tên đối tác tại thời điểm ghi.</t>
  </si>
  <si>
    <t>Cùng lý do TargetName.</t>
  </si>
  <si>
    <t>BeforeJson</t>
  </si>
  <si>
    <t>Toàn bộ bản ghi TRƯỚC khi sửa.</t>
  </si>
  <si>
    <t>Cho phép xem lại chính xác thứ đã bị thay đổi, không phải suy đoán.</t>
  </si>
  <si>
    <t>AfterJson</t>
  </si>
  <si>
    <t>Toàn bộ bản ghi SAU khi sửa.</t>
  </si>
  <si>
    <t>Đối chiếu với BeforeJson.</t>
  </si>
  <si>
    <t>ChangedFields</t>
  </si>
  <si>
    <t>Danh sách trường đã đổi, ngăn bởi dấu phẩy.</t>
  </si>
  <si>
    <t>Hiển thị nhanh trên lưới mà không phải so hai khối JSON.</t>
  </si>
  <si>
    <t>SubscriptionId</t>
  </si>
  <si>
    <t>Tab Truyền nhận</t>
  </si>
  <si>
    <t>Đăng ký phát sinh gói tin.</t>
  </si>
  <si>
    <t>Truy ngược về đăng ký.</t>
  </si>
  <si>
    <t>Phiên đã truyền gói tin.</t>
  </si>
  <si>
    <t>Truy ngược về phiên.</t>
  </si>
  <si>
    <t>TransferDirection</t>
  </si>
  <si>
    <t>SND | RCV.</t>
  </si>
  <si>
    <t>Phân biệt gói gửi đi và gói nhận về.</t>
  </si>
  <si>
    <t>Lọc nhật ký theo loại dữ liệu.</t>
  </si>
  <si>
    <t>Số thứ tự gói theo giao thức.</t>
  </si>
  <si>
    <t>Đối soát với đối tác khi nghi mất gói.</t>
  </si>
  <si>
    <t>PacketNbr</t>
  </si>
  <si>
    <t>Số hiệu gói trong chuỗi chia nhỏ.</t>
  </si>
  <si>
    <t>Gói lớn bị chia thì cần biết mảnh nào.</t>
  </si>
  <si>
    <t>PduType</t>
  </si>
  <si>
    <t>Loại đơn vị dữ liệu giao thức.</t>
  </si>
  <si>
    <t>Phân biệt Login/Publish/Heartbeat…</t>
  </si>
  <si>
    <t>Khớp với Format của đăng ký.</t>
  </si>
  <si>
    <t>ByteSize</t>
  </si>
  <si>
    <t>Dung lượng gói (byte).</t>
  </si>
  <si>
    <t>Thống kê băng thông và đối soát khối lượng.</t>
  </si>
  <si>
    <t>RecordCount</t>
  </si>
  <si>
    <t>Số bản ghi trong gói.</t>
  </si>
  <si>
    <t>Đối soát với đối tác: 'đã gửi bao nhiêu dòng'.</t>
  </si>
  <si>
    <t>FilePath</t>
  </si>
  <si>
    <t>Đường dẫn tệp bằng chứng.</t>
  </si>
  <si>
    <t>⚠ Cùng với Hash, đây là thứ biến bảng này thành BẰNG CHỨNG pháp lý — nên bảng phải chỉ ghi thêm, không sửa, không xoá.</t>
  </si>
  <si>
    <t>Hash</t>
  </si>
  <si>
    <t>Băm nội dung (SHA-256).</t>
  </si>
  <si>
    <t>Chứng minh nội dung đã gửi không bị thay đổi về sau.</t>
  </si>
  <si>
    <t>OperatorName</t>
  </si>
  <si>
    <t>Người thực hiện.</t>
  </si>
  <si>
    <t>Truy trách nhiệm.</t>
  </si>
  <si>
    <t>OperatorIp</t>
  </si>
  <si>
    <t>Địa chỉ IP người thực hiện.</t>
  </si>
  <si>
    <t>Truy vết an ninh.</t>
  </si>
  <si>
    <t>MappingId</t>
  </si>
  <si>
    <t>CỘT MỚI</t>
  </si>
  <si>
    <t>CỘT MỚI — hồ sơ ánh xạ đã dùng để gửi.</t>
  </si>
  <si>
    <t>Đối soát về sau: gói tin này được dịch sang ngôn ngữ đối tác theo hồ sơ nào.</t>
  </si>
  <si>
    <t>PacketId</t>
  </si>
  <si>
    <t>CỘT MỚI — bản ghi gói tin cụ thể.</t>
  </si>
  <si>
    <t>Bảng đã có DatatypeId (mã loại) nhưng chưa trỏ được tới bản gói tin nào.</t>
  </si>
  <si>
    <t>PacketVersion</t>
  </si>
  <si>
    <t>CỘT MỚI — phiên bản cấu trúc thực sự đã dùng.</t>
  </si>
  <si>
    <t>Khi đối tác khiếu nại 'thiếu field', cột này cho biết lúc đó đang chạy bản cấu trúc nào.</t>
  </si>
  <si>
    <t>[ĐÃ CÓ · ALTER (1 cột)]  Danh mục nguồn sự kiện nội bộ (chủ đề NATS) để kích hoạt gửi theo sự kiện.</t>
  </si>
  <si>
    <t>Tại sao ESHARE cần bảng này: Chỉ nới kiểu DatatypeCode cho khớp ShareDataPacket.Code.</t>
  </si>
  <si>
    <t>Tên nguồn sự kiện.</t>
  </si>
  <si>
    <t>Hiển thị trong dropdown khi tạo đăng ký.</t>
  </si>
  <si>
    <t>Subject</t>
  </si>
  <si>
    <t>Chủ đề NATS nội bộ, VD 'ta.its.data.incident'.</t>
  </si>
  <si>
    <t>Backend lắng nghe đúng chủ đề này để biết khi nào phải gửi dữ liệu đi.</t>
  </si>
  <si>
    <t>DatatypeCode</t>
  </si>
  <si>
    <t>nvarchar(16) → nvarchar(32)</t>
  </si>
  <si>
    <t>SỬA KIỂU — mã gói tin gắn với sự kiện này.</t>
  </si>
  <si>
    <t>Nới từ 16 lên 32 để khớp ShareDataPacket.Code. Không nới thì mã gói tin dài hơn 16 ký tự sẽ bị cắt.</t>
  </si>
  <si>
    <t>Mô tả sự kiện.</t>
  </si>
  <si>
    <t>Giải thích khi nào sự kiện này bắn.</t>
  </si>
  <si>
    <t>[TẠO MỚI]  Masterdata gói tin (101–111+). Mỗi dòng là một phiên bản của một gói tin.</t>
  </si>
  <si>
    <t>Tại sao ESHARE cần bảng này: Thay danh mục shareData_type trong SysConfigType. Danh mục key-value chung không chứa được Version / Status / TopN và không có quan hệ với bảng nguồn.</t>
  </si>
  <si>
    <t>Tên gói tin, VD 'Thông tin chung / luồng giao thông'.</t>
  </si>
  <si>
    <t>Hiển thị trên danh sách và trong nhật ký.</t>
  </si>
  <si>
    <t>Version</t>
  </si>
  <si>
    <t>Phiên bản cấu trúc. Mặc định 1.</t>
  </si>
  <si>
    <t>Gói tin là hợp đồng dài hạn với đối tác. Đổi field mà không version thì mọi đối tác vỡ cùng lúc. Đổi cấu trúc = tạo bản mới, hai bản chạy song song lúc chuyển đổi.</t>
  </si>
  <si>
    <t>Mô tả nội dung gói tin.</t>
  </si>
  <si>
    <t>Người vận hành cần biết gói tin chứa gì mà không phải mở đặc tả Word.</t>
  </si>
  <si>
    <t>TopN</t>
  </si>
  <si>
    <t>Trần số bản ghi mỗi lần xuất.</t>
  </si>
  <si>
    <t>Chặn trên để một lỗi cấu hình không kéo cả triệu dòng ra khỏi CSDL. Đặt ở cấp gói tin vì đây là thuộc tính của lần xuất, không phải của bảng nguồn.</t>
  </si>
  <si>
    <t>MaxIntervalSec</t>
  </si>
  <si>
    <t>Chu kỳ gửi tối thiểu theo yêu cầu kỹ thuật (giây).</t>
  </si>
  <si>
    <t>Quy chuẩn giới hạn tần suất từng loại dữ liệu; dùng để chặn khi đặt lịch dày hơn mức cho phép.</t>
  </si>
  <si>
    <t>0 = ngừng · 1 = dùng · 2 = nháp.</t>
  </si>
  <si>
    <t>Trạng thái nháp cho phép khai dở dang mà chưa gửi cho ai, và là chỗ móc quy trình duyệt hai bước.</t>
  </si>
  <si>
    <t>Đưa gói tin hay dùng lên đầu.</t>
  </si>
  <si>
    <t>Mã gói tin, VD '101'. ⚠ nvarchar(32), KHÔNG phải 64.</t>
  </si>
  <si>
    <t>Phải KHỚP KIỂU với ShareDataSubscription.DatatypeId — đây là khoá nối giữa đăng ký và gói tin. Lệch kiểu khi join gây implicit conversion và mất index.</t>
  </si>
  <si>
    <t>[TẠO MỚI]  Các bảng vật lý tham gia một gói tin, kèm điều kiện join và danh sách field (FieldsJson).</t>
  </si>
  <si>
    <t>Tại sao ESHARE cần bảng này: Mảnh thiếu chí mạng của thiết kế cũ: ShareDataDataSource chỉ khai được MỘT bảng, trong khi gói tin 101 cần ghép 3 bảng. Đây là chỗ định nghĩa gói tin gồm những gì.</t>
  </si>
  <si>
    <t>Trỏ tới ShareDataPacket.ID.</t>
  </si>
  <si>
    <t>Một gói tin gồm nhiều bảng vật lý ghép lại. Không khai FOREIGN KEY vì toàn bộ CSDL này không có FK nào.</t>
  </si>
  <si>
    <t>Tên gợi nhớ cho bảng trong ngữ cảnh gói tin.</t>
  </si>
  <si>
    <t>Tên bảng vật lý thường khó đọc; cột này để đặt nhãn dễ hiểu.</t>
  </si>
  <si>
    <t>DbRef</t>
  </si>
  <si>
    <t>Tham chiếu kết nối CSDL. Mặc định 'SqlServer'.</t>
  </si>
  <si>
    <t>Để sau này gói tin lấy được dữ liệu từ nhiều CSDL khác nhau mà không đổi cấu trúc.</t>
  </si>
  <si>
    <t>SchemaName</t>
  </si>
  <si>
    <t>Schema, mặc định 'dbo'.</t>
  </si>
  <si>
    <t>Tách riêng thay vì gộp chuỗi 'dbo.TmsZone'. Gộp là mất khả năng truy vấn 'bảng này đang nằm trong gói tin nào' vì mỗi người viết một kiểu.</t>
  </si>
  <si>
    <t>TableName</t>
  </si>
  <si>
    <t>Tên bảng hoặc view vật lý, VD 'TmsZoneStatus'.</t>
  </si>
  <si>
    <t>Đây là nguồn đọc dữ liệu thật. Phải đối chiếu INFORMATION_SCHEMA khi lưu.</t>
  </si>
  <si>
    <t>ObjectType</t>
  </si>
  <si>
    <t>1 = TABLE · 2 = VIEW.</t>
  </si>
  <si>
    <t>Logic 'trạng thái mới nhất' hay 'tổng hợp theo khung giờ' cần hàm cửa sổ và GROUP BY, không diễn đạt được bằng JoinCondition — đóng gói trong VIEW rồi trỏ vào.</t>
  </si>
  <si>
    <t>Alias</t>
  </si>
  <si>
    <t>Bí danh trong câu SQL: a, b, c.</t>
  </si>
  <si>
    <t>Bắt buộc vì gói tin ghép nhiều bảng có cột trùng tên (cả TmsZone và TmsZoneStatus đều có cột ID). Duy nhất trong gói tin, DB đảm bảo bằng unique index.</t>
  </si>
  <si>
    <t>IsRoot</t>
  </si>
  <si>
    <t>Bảng gốc của câu truy vấn (mệnh đề FROM).</t>
  </si>
  <si>
    <t>Mỗi biến thể nguồn phải có ĐÚNG MỘT bảng gốc. Không có thì không dựng được FROM; có hai thì không biết chọn cái nào. Ràng buộc dễ vi phạm nhất khi sửa cấu trúc.</t>
  </si>
  <si>
    <t>JoinType</t>
  </si>
  <si>
    <t>INNER | LEFT.</t>
  </si>
  <si>
    <t>Quyết định bản ghi thiếu dữ liệu ở bảng phụ có bị loại khỏi gói tin hay không.</t>
  </si>
  <si>
    <t>JoinCondition</t>
  </si>
  <si>
    <t>Điều kiện nối, VD 'a.ZoneId = b.ID'.</t>
  </si>
  <si>
    <t>Đây là thứ định nghĩa gói tin gồm những bảng nào ghép lại. Chỉ được trỏ vào alias đã khai PHÍA TRÊN để chống join vòng. ⚠ Chuỗi tự do ghép vào SQL — phải chặn ký tự nguy hiểm.</t>
  </si>
  <si>
    <t>FilterExpr</t>
  </si>
  <si>
    <t>Điều kiện WHERE riêng cho bảng này.</t>
  </si>
  <si>
    <t>Lọc bớt dữ liệu ngay tại nguồn, VD chỉ lấy bản ghi còn hiệu lực.</t>
  </si>
  <si>
    <t>VariantNo</t>
  </si>
  <si>
    <t>Nhóm nguồn. Mặc định 1. HIỆN CHƯA DÙNG.</t>
  </si>
  <si>
    <t>Bảo hiểm cho tình huống một gói tin lấy dữ liệu từ hai hệ thống nguồn khác nhau. Thêm sẵn một cột NULL bây giờ rẻ hơn ALTER bảng đã có dữ liệu về sau.</t>
  </si>
  <si>
    <t>ParentTableId</t>
  </si>
  <si>
    <t>Bảng cha khi đầu ra lồng nhau. CHƯA DÙNG.</t>
  </si>
  <si>
    <t>Dự phòng cho v2 khi đối tác yêu cầu JSON nhiều tầng thay vì phẳng một tầng.</t>
  </si>
  <si>
    <t>Cardinality</t>
  </si>
  <si>
    <t>ONE | MANY. CHƯA DÙNG.</t>
  </si>
  <si>
    <t>Đi kèm ParentTableId, cho biết quan hệ một–một hay một–nhiều khi dựng đầu ra lồng.</t>
  </si>
  <si>
    <t>Thứ tự JOIN.</t>
  </si>
  <si>
    <t>Thứ tự nối có ý nghĩa: điều kiện join chỉ được trỏ vào alias xuất hiện trước đó. Không lưu thì phụ thuộc thứ tự trả về của CSDL.</t>
  </si>
  <si>
    <t>FieldsJson</t>
  </si>
  <si>
    <t>Danh sách field lấy từ bảng này. Xem sheet 'JSON - FieldsJson'.</t>
  </si>
  <si>
    <t>Field không bao giờ được đọc tách khỏi bảng của nó, và không ràng buộc DB nào bao được 'fieldKey duy nhất theo gói tin' vì field trải trên nhiều dòng — để bảng riêng cũng không mua thêm gì.</t>
  </si>
  <si>
    <t>SchemaValid</t>
  </si>
  <si>
    <t>Khai báo còn khớp CSDL hay không.</t>
  </si>
  <si>
    <t>Vì ColumnName chỉ là chuỗi, không FK, nên không gì bảo đảm cột đó còn tồn tại. Cột này để đánh dấu khi phát hiện lệch.</t>
  </si>
  <si>
    <t>SchemaCheckedAt</t>
  </si>
  <si>
    <t>Thời điểm kiểm tra gần nhất.</t>
  </si>
  <si>
    <t>Đi kèm SchemaValid.</t>
  </si>
  <si>
    <t>[TẠO MỚI]  Bộ mã quy đổi giá trị: 1 → on, 0 → off; 1 → slow, 2 → normal…</t>
  </si>
  <si>
    <t>Tại sao ESHARE cần bảng này: CSDL lưu mã số, đối tác cần chữ theo quy chuẩn. Tách riêng vì một bộ mã dùng lại được cho nhiều gói tin — nhét vào từng field thì khai lặp và sẽ lệch nhau.</t>
  </si>
  <si>
    <t>Tên bộ mã, VD 'Tình trạng giao thông'.</t>
  </si>
  <si>
    <t>Hiển thị trên màn Bộ mã và trong dropdown khi gán cho field.</t>
  </si>
  <si>
    <t>Mô tả bộ mã.</t>
  </si>
  <si>
    <t>Giải thích bộ mã dùng cho loại dữ liệu nào.</t>
  </si>
  <si>
    <t>Scope</t>
  </si>
  <si>
    <t>1 = bộ mã chuẩn theo TCVN · 2 = biến thể cho đối tác lệch chuẩn.</t>
  </si>
  <si>
    <t>Để lọc trên màn Bộ mã. ⚠ KHÔNG có PartnerId: một bộ mã dùng được cho nhiều đối tác, và ràng buộc 'đối tác nào dùng bộ mã nào' đã nằm ở Mapping.ItemsJson — khai thêm ở đây là nguồn sự thật kép.</t>
  </si>
  <si>
    <t>ValuesJson</t>
  </si>
  <si>
    <t>Danh sách giá trị quy đổi. Xem sheet 'JSON - ValuesJson'.</t>
  </si>
  <si>
    <t>Luôn đọc cùng bộ mã, không truy vấn độc lập, mỗi bộ chỉ vài dòng — bảng con riêng không mang lại lợi ích gì.</t>
  </si>
  <si>
    <t>Mã bộ, VD 'TRAFFIC_COND', 'DEVICE_STATE'.</t>
  </si>
  <si>
    <t>Mã ngắn để tham chiếu và nhận diện nhanh. Duy nhất.</t>
  </si>
  <si>
    <t>[TẠO MỚI]  Hồ sơ ánh xạ cho một đối tác × gói tin × chiều. Chỉ ghi phần lệch chuẩn.</t>
  </si>
  <si>
    <t>Tại sao ESHARE cần bảng này: Thay ShareDataMappingProfile. Khác biệt chính: bỏ DataSourceId (nguồn thuộc gói tin, không thuộc đối tác) nên thêm đối tác mới không phải khai lại nguồn và join.</t>
  </si>
  <si>
    <t>Trỏ tới ShareDataPartner.ID.</t>
  </si>
  <si>
    <t>⚠ Đây là bảng DUY NHẤT trong nhóm mới có cột đối tác. Nguyên tắc thiết kế: chỉ một nơi được phép nhắc tới đối tác, mọi thứ riêng theo đối tác đều nằm ở đây.</t>
  </si>
  <si>
    <t>Mã gói tin — bằng ShareDataPacket.Code.</t>
  </si>
  <si>
    <t>Cùng kiểu với Subscription.DatatypeId. Khoá tra cứu lúc chạy là bộ ba (PartnerId, DatatypeId, Direction) — cả ba đều đã có sẵn trên Subscription nên không phải ALTER bảng đó.</t>
  </si>
  <si>
    <t>Trỏ tới bản gói tin cụ thể đang áp dụng.</t>
  </si>
  <si>
    <t>DatatypeId chỉ ra loại gói tin; PacketId chỉ ra đúng bản ghi nào (vì có nhiều phiên bản).</t>
  </si>
  <si>
    <t>Ghim phiên bản cấu trúc mà hồ sơ này được viết cho.</t>
  </si>
  <si>
    <t>Cho phép đối tác chưa sẵn sàng chạy tiếp bản cũ trong khi đối tác khác đã chuyển sang bản mới. Đặt ở đây vì Subscription không được sửa.</t>
  </si>
  <si>
    <t>⚠ Phải cùng kiểu và cùng tập giá trị với Subscription.Direction nvarchar(16). Bảng MappingProfile cũ dùng nvarchar(8) với OUT/IN — lệch, phải thống nhất.</t>
  </si>
  <si>
    <t>Khớp Subscription.Format.</t>
  </si>
  <si>
    <t>TargetRootEntity</t>
  </si>
  <si>
    <t>Tên thực thể gốc phía đối tác, VD 'BB'.</t>
  </si>
  <si>
    <t>Đối tác không chỉ gọi field khác tên mà còn gọi BẢNG khác tên. Thiết kế cũ thiếu tầng này.</t>
  </si>
  <si>
    <t>ItemsJson</t>
  </si>
  <si>
    <t>CHỈ ghi field lệch chuẩn. Xem sheet 'JSON - ItemsJson'.</t>
  </si>
  <si>
    <t>Gói tin theo quy chuẩn nên đa số đối tác nhận đúng tên chuẩn. Field không có dòng thì gửi theo chuẩn ⇒ đối tác tuân thủ chuẩn có ItemsJson = [], giảm hẳn khối lượng khai báo.</t>
  </si>
  <si>
    <t>IsActive</t>
  </si>
  <si>
    <t>Hồ sơ đang được áp dụng.</t>
  </si>
  <si>
    <t>Duy nhất một hồ sơ đang dùng cho mỗi (đối tác × gói tin × chiều). DB đảm bảo bằng filtered unique index — nếu không sẽ có hai hồ sơ cùng hiệu lực.</t>
  </si>
  <si>
    <t>Tên hồ sơ ánh xạ.</t>
  </si>
  <si>
    <t>Phân biệt các bản nháp và bản lịch sử.</t>
  </si>
  <si>
    <t>[TẠO MỚI]  Cảnh báo và lỗi cần người xử lý, có vòng đời xác nhận.</t>
  </si>
  <si>
    <t>Tại sao ESHARE cần bảng này: Màn 'Cảnh báo &amp; lỗi' hiện đang chạy mà KHÔNG có bảng nào phía sau.</t>
  </si>
  <si>
    <t>Thời điểm phát sinh.</t>
  </si>
  <si>
    <t>Khác CreateTime: sự cố có thể xảy ra trước lúc ghi nhận.</t>
  </si>
  <si>
    <t>Severity</t>
  </si>
  <si>
    <t>warning | error.</t>
  </si>
  <si>
    <t>Phân biệt việc cần xử lý ngay với việc chỉ cần biết.</t>
  </si>
  <si>
    <t>AlertSource</t>
  </si>
  <si>
    <t>session | packet | subscription | protocol | schema.</t>
  </si>
  <si>
    <t>⚠ Đặt tên AlertSource chứ không phải Source — tránh nhầm với ActivityLog.TargetType.</t>
  </si>
  <si>
    <t>AlertCode</t>
  </si>
  <si>
    <t>ESH-xxxx hoặc reason-cd giao thức ISO 14827-2.</t>
  </si>
  <si>
    <t>Mã hoá lỗi để tra cứu và thống kê, thay vì so khớp chuỗi thông báo.</t>
  </si>
  <si>
    <t>Lọc cảnh báo theo đối tác.</t>
  </si>
  <si>
    <t>Phiên liên quan.</t>
  </si>
  <si>
    <t>Truy ngược khi lỗi thuộc tầng kết nối.</t>
  </si>
  <si>
    <t>Đăng ký liên quan.</t>
  </si>
  <si>
    <t>Truy ngược khi lỗi thuộc tầng gửi/nhận.</t>
  </si>
  <si>
    <t>Mã gói tin liên quan.</t>
  </si>
  <si>
    <t>Lọc cảnh báo theo gói tin.</t>
  </si>
  <si>
    <t>Message</t>
  </si>
  <si>
    <t>nvarchar(1000)</t>
  </si>
  <si>
    <t>Nội dung mô tả tiếng Việt.</t>
  </si>
  <si>
    <t>Thứ người vận hành đọc trực tiếp.</t>
  </si>
  <si>
    <t>DetailJson</t>
  </si>
  <si>
    <t>Chi tiết bổ sung dạng JSON.</t>
  </si>
  <si>
    <t>Chứa ngữ cảnh kỹ thuật (câu SQL lỗi, field thiếu…) mà không phải thêm cột mới cho từng loại lỗi.</t>
  </si>
  <si>
    <t>Acknowledged</t>
  </si>
  <si>
    <t>Đã có người xác nhận xử lý.</t>
  </si>
  <si>
    <t>⚠ Chính ba cột Ack* này khiến bảng cảnh báo KHÔNG gộp được vào ShareDataActivityLog: cảnh báo phải UPDATE được, còn nhật ký truyền nhận là bằng chứng chỉ ghi thêm.</t>
  </si>
  <si>
    <t>AckBy</t>
  </si>
  <si>
    <t>Người xác nhận.</t>
  </si>
  <si>
    <t>Truy trách nhiệm xử lý sự cố.</t>
  </si>
  <si>
    <t>AckAt</t>
  </si>
  <si>
    <t>Thời điểm xác nhận.</t>
  </si>
  <si>
    <t>Đo thời gian phản ứng với sự cố.</t>
  </si>
  <si>
    <t>ShareDataSubscription.ScheduleJson</t>
  </si>
  <si>
    <t>Lịch gửi của một đăng ký: liên tục theo chu kỳ, hoặc theo ngày trong tuần.</t>
  </si>
  <si>
    <t>Tại sao để JSON thay vì bảng con: Hai dạng lịch có bộ trường khác nhau — để JSON gọn hơn là thêm chục cột mà mỗi dạng chỉ dùng một nửa. Đây là nếp có sẵn của bảng Subscription.</t>
  </si>
  <si>
    <t>Khoá JSON</t>
  </si>
  <si>
    <t>Kiểu</t>
  </si>
  <si>
    <t>kind</t>
  </si>
  <si>
    <t>string</t>
  </si>
  <si>
    <t>continuous | daily.</t>
  </si>
  <si>
    <t>Hai dạng lịch có bộ trường khác nhau; cột này quyết định trường nào có nghĩa.</t>
  </si>
  <si>
    <t>updateDelaySec</t>
  </si>
  <si>
    <t>Chu kỳ gửi (giây) — dạng continuous.</t>
  </si>
  <si>
    <t>Tần suất gửi định kỳ. Phải kiểm với Packet.MaxIntervalSec để không vượt mức quy chuẩn.</t>
  </si>
  <si>
    <t>startTime</t>
  </si>
  <si>
    <t>Giờ bắt đầu trong ngày.</t>
  </si>
  <si>
    <t>Giới hạn khung giờ gửi.</t>
  </si>
  <si>
    <t>endTime</t>
  </si>
  <si>
    <t>Giờ kết thúc trong ngày.</t>
  </si>
  <si>
    <t>daysOfWeek</t>
  </si>
  <si>
    <t>array</t>
  </si>
  <si>
    <t>Ngày trong tuần — dạng daily.</t>
  </si>
  <si>
    <t>ISO 14827-2 cho phép đăng ký chỉ chạy vào một số ngày.</t>
  </si>
  <si>
    <t>startDate</t>
  </si>
  <si>
    <t>Ngày bắt đầu hiệu lực.</t>
  </si>
  <si>
    <t>Đăng ký có thời hạn.</t>
  </si>
  <si>
    <t>endDate</t>
  </si>
  <si>
    <t>Ngày hết hiệu lực.</t>
  </si>
  <si>
    <t>Hết hạn thì đăng ký chuyển trạng thái Expired.</t>
  </si>
  <si>
    <t>durationMinutes</t>
  </si>
  <si>
    <t>Thời lượng mỗi ngày (phút), mặc định 1440.</t>
  </si>
  <si>
    <t>Cho phép chỉ chạy một khoảng trong ngày thay vì cả ngày.</t>
  </si>
  <si>
    <t>ShareDataPacketTable.FieldsJson</t>
  </si>
  <si>
    <t>Danh sách field lấy từ bảng này. Mỗi phần tử là một cột sẽ xuất hiện trong gói tin.</t>
  </si>
  <si>
    <t>Tại sao để JSON thay vì bảng con: Field không bao giờ được đọc tách khỏi bảng của nó. Ngoài ra không ràng buộc DB nào bao được 'fieldKey duy nhất theo gói tin' vì field trải trên nhiều dòng PacketTable.</t>
  </si>
  <si>
    <t>fieldKey</t>
  </si>
  <si>
    <t>Tên field theo đặc tả gói tin, VD 'averageSpeed'. Tự sinh từ tên cột.</t>
  </si>
  <si>
    <t>⚠ Đây là khoá mà ItemsJson của Mapping trỏ vào. Phải duy nhất trong TOÀN gói tin (không phải chỉ trong một bảng) vì hai bảng có thể cùng có cột tên Name. KHÔNG được đổi khi đã có ánh xạ trỏ vào — đổi là hỏng âm thầm mọi đối tác.</t>
  </si>
  <si>
    <t>columnName</t>
  </si>
  <si>
    <t>Cột thật trong CSDL. NULL nếu field tính toán hoặc chưa có nguồn.</t>
  </si>
  <si>
    <t>Là thứ ghép vào câu SELECT. Phải đối chiếu INFORMATION_SCHEMA khi lưu.</t>
  </si>
  <si>
    <t>dbType</t>
  </si>
  <si>
    <t>Kiểu CSDL chụp lúc khai, VD 'decimal(9,2)'.</t>
  </si>
  <si>
    <t>Để đối chiếu về sau khi nghi ngờ cấu trúc nguồn đã đổi.</t>
  </si>
  <si>
    <t>name</t>
  </si>
  <si>
    <t>Tên hiển thị tiếng Việt, VD 'Tốc độ trung bình'.</t>
  </si>
  <si>
    <t>Hiển thị trên lưới và bản xem trước; CSDL không cung cấp thông tin này.</t>
  </si>
  <si>
    <t>dataType</t>
  </si>
  <si>
    <t>string | number | datetime | bool.</t>
  </si>
  <si>
    <t>Quyết định cách định dạng khi sinh JSON gửi đi.</t>
  </si>
  <si>
    <t>unit</t>
  </si>
  <si>
    <t>Đơn vị NGUỒN, VD 'km/h'.</t>
  </si>
  <si>
    <t>Là GỐC để quy đổi sang đơn vị đối tác yêu cầu. Không khai đơn vị nguồn thì không có căn cứ để đổi 60 km/h thành 16.67 m/s.</t>
  </si>
  <si>
    <t>expression</t>
  </si>
  <si>
    <t>Biến đổi lúc đọc, VD 'FromKmNumber*1000 + FromMetNumber'.</t>
  </si>
  <si>
    <t>Áp CHUNG cho mọi đối tác — dùng khi quy chuẩn đòi dạng khác với cách CSDL lưu.</t>
  </si>
  <si>
    <t>codeSetId</t>
  </si>
  <si>
    <t>Trỏ tới ShareDataCodeSet.ID.</t>
  </si>
  <si>
    <t>Quy đổi giá trị về mã chuẩn, áp chung mọi đối tác. NULL với field số, chuỗi tự do, thời gian.</t>
  </si>
  <si>
    <t>defaultValue</t>
  </si>
  <si>
    <t>Giá trị thay thế khi nguồn rỗng.</t>
  </si>
  <si>
    <t>Tránh gửi field rỗng cho đối tác không chấp nhận null.</t>
  </si>
  <si>
    <t>isRequired</t>
  </si>
  <si>
    <t>bool</t>
  </si>
  <si>
    <t>Bắt buộc có giá trị.</t>
  </si>
  <si>
    <t>Thiếu thì KHÔNG gửi và ghi cảnh báo, thay vì gửi gói tin khuyết.</t>
  </si>
  <si>
    <t>isKey</t>
  </si>
  <si>
    <t>Là khoá dùng để join hoặc định danh bản ghi.</t>
  </si>
  <si>
    <t>Đánh dấu để người khai biết cột nào không nên bỏ.</t>
  </si>
  <si>
    <t>orderNo</t>
  </si>
  <si>
    <t>Thứ tự cột trong SELECT và JSON đầu ra.</t>
  </si>
  <si>
    <t>Đầu ra phải ổn định thứ tự; không lưu thì phụ thuộc thứ tự trả về của CSDL.</t>
  </si>
  <si>
    <t>status</t>
  </si>
  <si>
    <t>0 = đặc tả quy định nhưng CSDL CHƯA có cột · 1 = dùng thật.</t>
  </si>
  <si>
    <t>Đặc tả gói tin 101 có sẵn 2 dòng '— Chưa có' (roadType, pavementType…). Cần khai để không quên nhưng không đưa vào SELECT. Đây là lý do BỎ ràng buộc CHECK 'phải có columnName hoặc expression'.</t>
  </si>
  <si>
    <t>ShareDataCodeSet.ValuesJson</t>
  </si>
  <si>
    <t>Danh sách cặp quy đổi giá trị của một bộ mã.</t>
  </si>
  <si>
    <t>Tại sao để JSON thay vì bảng con: Luôn đọc cùng bộ mã, không truy vấn độc lập, mỗi bộ chỉ vài dòng.</t>
  </si>
  <si>
    <t>sourceValue</t>
  </si>
  <si>
    <t>Giá trị trong CSDL, VD '1'.</t>
  </si>
  <si>
    <t>Vế trái của phép quy đổi. Chiều INBOUND dùng NGƯỢC LẠI cặp này.</t>
  </si>
  <si>
    <t>standardValue</t>
  </si>
  <si>
    <t>Giá trị gửi ra, VD 'slow'.</t>
  </si>
  <si>
    <t>Vế phải — giá trị theo quy chuẩn mà đối tác nhận được.</t>
  </si>
  <si>
    <t>displayName</t>
  </si>
  <si>
    <t>Nhãn tiếng Việt, VD 'Chậm'.</t>
  </si>
  <si>
    <t>Chỉ hiển thị trên giao diện quản trị, không gửi ra ngoài.</t>
  </si>
  <si>
    <t>isDefault</t>
  </si>
  <si>
    <t>Dùng khi giá trị nguồn không khớp dòng nào.</t>
  </si>
  <si>
    <t>Tránh gửi ra giá trị lạ khi CSDL xuất hiện mã mới chưa kịp khai. Chỉ nên có một dòng đặt cờ này.</t>
  </si>
  <si>
    <t>Sắp theo nghĩa thay vì theo mã.</t>
  </si>
  <si>
    <t>ShareDataMapping.ItemsJson</t>
  </si>
  <si>
    <t>CHỈ ghi những field mà đối tác này yêu cầu khác chuẩn. Field không có dòng thì gửi theo chuẩn.</t>
  </si>
  <si>
    <t>Tại sao để JSON thay vì bảng con: Gói tin theo quy chuẩn nên đa số đối tác nhận đúng tên chuẩn ⇒ đối tác tuân thủ chuẩn có ItemsJson = [], giảm hẳn khối lượng khai báo và số chỗ phải sửa khi đổi chuẩn.</t>
  </si>
  <si>
    <t>Khoá trỏ vào fieldKey trong FieldsJson của gói tin.</t>
  </si>
  <si>
    <t>Sợi dây nối giữa hồ sơ đối tác và cấu trúc gói tin. Vì trỏ theo chuỗi nên phải chặn đổi tên fieldKey khi đã có ánh xạ.</t>
  </si>
  <si>
    <t>targetEntity</t>
  </si>
  <si>
    <t>Lệch tên thực thể phía đối tác (b → BB). NULL = dùng TargetRootEntity.</t>
  </si>
  <si>
    <t>Đối tác gọi bảng khác tên, không chỉ gọi field khác tên.</t>
  </si>
  <si>
    <t>targetKey</t>
  </si>
  <si>
    <t>Lệch tên field (averageSpeed → vanToc). NULL = dùng fieldKey.</t>
  </si>
  <si>
    <t>Việc chính của tầng ánh xạ: đổi tên theo yêu cầu từng đối tác.</t>
  </si>
  <si>
    <t>targetUnit</t>
  </si>
  <si>
    <t>Lệch đơn vị (km/h → m/s).</t>
  </si>
  <si>
    <t>Gốc quy đổi lấy từ field.unit của gói tin. Đây là 'đổi giá trị riêng theo đối tác' — không đặt được ở cấp gói tin vì mỗi đối tác đòi một đơn vị khác.</t>
  </si>
  <si>
    <t>Lệch bộ mã — trỏ vào một ShareDataCodeSet khác bộ mã chuẩn của field.</t>
  </si>
  <si>
    <t>VD chuẩn gửi 'slow' nhưng đối tác đòi 'Chậm'. Các đối tác khác không bị ảnh hưởng.</t>
  </si>
  <si>
    <t>Biến đổi riêng cho đối tác này.</t>
  </si>
  <si>
    <t>Lối thoát cho yêu cầu biến đổi không nằm trong đơn vị hay bộ mã.</t>
  </si>
  <si>
    <t>Giá trị thay thế riêng cho đối tác này.</t>
  </si>
  <si>
    <t>Một số đối tác chấp nhận rỗng, số khác đòi giá trị thay thế.</t>
  </si>
  <si>
    <t>isExcluded</t>
  </si>
  <si>
    <t>true = đối tác này KHÔNG nhận field đó.</t>
  </si>
  <si>
    <t>Không phải đối tác nào cũng được nhận đủ mọi field. Không có cột này thì phải tạo gói tin riêng cho từng mức độ chia sẻ.</t>
  </si>
  <si>
    <t>Index và ràng buộc do CSDL đảm bảo</t>
  </si>
  <si>
    <t>Mọi filtered index đều kèm WHERE IsDelete IS NULL vì IsDelete là datetime, không phải bit.</t>
  </si>
  <si>
    <t>Bảng</t>
  </si>
  <si>
    <t>Tên index / ràng buộc</t>
  </si>
  <si>
    <t>Định nghĩa</t>
  </si>
  <si>
    <t>Bảo đảm điều gì</t>
  </si>
  <si>
    <t>UX_ShareDataPacket_CodeVer</t>
  </si>
  <si>
    <t>UNIQUE (Code, Version) WHERE IsDelete IS NULL</t>
  </si>
  <si>
    <t>Không tồn tại hai bản ghi cùng mã và cùng phiên bản.</t>
  </si>
  <si>
    <t>Mã gói tin + phiên bản là định danh nghiệp vụ; trùng là không biết bản nào đang hiệu lực.</t>
  </si>
  <si>
    <t>UX_ShareDataPacketTable_Alias</t>
  </si>
  <si>
    <t>UNIQUE (PacketId, Alias) WHERE IsDelete IS NULL</t>
  </si>
  <si>
    <t>Bí danh duy nhất trong một gói tin.</t>
  </si>
  <si>
    <t>Trùng alias thì câu SQL sinh ra sai hoặc mơ hồ. Để DB chặn thay vì tin vào code.</t>
  </si>
  <si>
    <t>UX_ShareDataPacketTable_Root</t>
  </si>
  <si>
    <t>UNIQUE (PacketId, VariantNo) WHERE IsRoot = 1 AND IsDelete IS NULL</t>
  </si>
  <si>
    <t>Đúng một bảng gốc cho mỗi (gói tin × biến thể).</t>
  </si>
  <si>
    <t>Không có bảng gốc thì không dựng được FROM; có hai thì không biết chọn cái nào.</t>
  </si>
  <si>
    <t>IX_ShareDataPacketTable_Object</t>
  </si>
  <si>
    <t>INDEX (DbRef, SchemaName, TableName)</t>
  </si>
  <si>
    <t>Trả lời 'bảng này đang nằm trong gói tin nào'.</t>
  </si>
  <si>
    <t>Khi DBA muốn đổi hoặc xoá một bảng, cần biết trước ảnh hưởng. Chạy được nhờ đã tách 3 cột riêng thay vì gộp chuỗi.</t>
  </si>
  <si>
    <t>UX_ShareDataCodeSet_Code</t>
  </si>
  <si>
    <t>UNIQUE (Code) WHERE IsDelete IS NULL</t>
  </si>
  <si>
    <t>Mã bộ mã duy nhất.</t>
  </si>
  <si>
    <t>Mã là thứ người khai dùng để nhận diện; trùng là nhầm.</t>
  </si>
  <si>
    <t>UX_ShareDataMapping_Active</t>
  </si>
  <si>
    <t>UNIQUE (PartnerId, DatatypeId, Direction) WHERE IsActive = 1 AND IsDelete IS NULL</t>
  </si>
  <si>
    <t>Duy nhất một hồ sơ đang dùng cho mỗi đối tác × gói tin × chiều.</t>
  </si>
  <si>
    <t>Đây là khoá tra cứu lúc chạy. Hai hồ sơ cùng hiệu lực thì không biết dùng cái nào.</t>
  </si>
  <si>
    <t>IX_ShareDataAlertLog_Unacked</t>
  </si>
  <si>
    <t>INDEX (OccurredAt DESC) WHERE Acknowledged = 0 AND IsDelete IS NULL</t>
  </si>
  <si>
    <t>Lấy nhanh danh sách cảnh báo chưa xử lý.</t>
  </si>
  <si>
    <t>Truy vấn mặc định của màn Cảnh báo &amp; lỗi, chạy mỗi lần mở màn hình.</t>
  </si>
  <si>
    <t>IX_ShareDataActivityLog_Transfer</t>
  </si>
  <si>
    <t>INDEX (PartnerId, DatatypeId, OccurredAt DESC) WHERE LogType = 'TRANSFER'</t>
  </si>
  <si>
    <t>Tra nhật ký truyền nhận theo đối tác và gói tin.</t>
  </si>
  <si>
    <t>Bảng chứa cả nhật ký cấu hình lẫn truyền nhận; filtered index tách phần lớn ra.</t>
  </si>
  <si>
    <t>(mọi bảng)</t>
  </si>
  <si>
    <t>PK_&lt;Bảng&gt;_ID / index_&lt;Bảng&gt;_CT</t>
  </si>
  <si>
    <t>PRIMARY KEY CLUSTERED (ID) / INDEX (CreateTime)</t>
  </si>
  <si>
    <t>Khoá chính và index theo thời điểm tạo.</t>
  </si>
  <si>
    <t>Đúng quy ước đặt tên của các bảng ShareData đang có.</t>
  </si>
  <si>
    <t>Ràng buộc CSDL KHÔNG đảm bảo được — service phải tự kiểm</t>
  </si>
  <si>
    <t>Gom vào một hàm ValidatePacketStructure() chạy trước mỗi lần lưu; nút 'Kiểm tra' trên màn Gói tin dùng lại chính hàm đó.</t>
  </si>
  <si>
    <t>Nội dung kiểm</t>
  </si>
  <si>
    <t>Mức</t>
  </si>
  <si>
    <t>Quy tắc</t>
  </si>
  <si>
    <t>Tại sao CSDL không lo được</t>
  </si>
  <si>
    <t>fieldKey duy nhất trong gói tin</t>
  </si>
  <si>
    <t>error</t>
  </si>
  <si>
    <t>fieldKey không trùng nhau giữa TẤT CẢ các bảng của cùng một gói tin.</t>
  </si>
  <si>
    <t>Field nằm trong FieldsJson của nhiều dòng PacketTable khác nhau nên không index nào bao được. Trùng thì câu SELECT sinh ra có hai cột cùng alias.</t>
  </si>
  <si>
    <t>Điều kiện join hợp lệ</t>
  </si>
  <si>
    <t>Bảng không phải ROOT bắt buộc có joinType + joinCondition; điều kiện chỉ được trỏ vào alias đã khai PHÍA TRÊN nó.</t>
  </si>
  <si>
    <t>Chống join vòng và chống trỏ vào alias chưa tồn tại. CHECK constraint chỉ kiểm được vế đầu, không kiểm được vế sau.</t>
  </si>
  <si>
    <t>Field có nguồn</t>
  </si>
  <si>
    <t>status = 1 thì bắt buộc có columnName hoặc expression.</t>
  </si>
  <si>
    <t>Ràng buộc CHECK cũ bị bỏ vì đặc tả cho phép field 'chưa có nguồn' (status = 0).</t>
  </si>
  <si>
    <t>Đối tượng có thật</t>
  </si>
  <si>
    <t>SchemaName / TableName / columnName phải khớp INFORMATION_SCHEMA.</t>
  </si>
  <si>
    <t>Không có FK nên không gì đảm bảo bảng và cột còn tồn tại. Kiểm tại thời điểm lưu, không đợi tới lúc gửi thật.</t>
  </si>
  <si>
    <t>Chặn đổi fieldKey</t>
  </si>
  <si>
    <t>Không cho đổi fieldKey khi đã có ShareDataMapping tham chiếu tới nó.</t>
  </si>
  <si>
    <t>ItemsJson trỏ theo chuỗi. Đổi tên là hỏng ánh xạ của MỌI đối tác — âm thầm, không báo lỗi.</t>
  </si>
  <si>
    <t>Kiểm UpdateTime khi lưu</t>
  </si>
  <si>
    <t>warning</t>
  </si>
  <si>
    <t>So UpdateTime client gửi lên với bản trong CSDL trước khi ghi đè.</t>
  </si>
  <si>
    <t>FieldsJson là cả cụm field trong một cột; hai người sửa cùng một bảng thì người lưu sau ghi đè người trước.</t>
  </si>
  <si>
    <t>Sinh SQL an toàn</t>
  </si>
  <si>
    <t>Luôn QUOTENAME mọi định danh; chặn ';', '--', '/*', 'xp_', 'EXEC', 'UNION' trong joinCondition / filterExpr / expression.</t>
  </si>
  <si>
    <t>Tên bảng, tên cột và biểu thức đều là chuỗi tự do được ghép vào câu lệnh.</t>
  </si>
  <si>
    <t>ActivityLog chỉ ghi thêm</t>
  </si>
  <si>
    <t>Không có đường nào UPDATE hoặc DELETE ShareDataActivityLog.</t>
  </si>
  <si>
    <t>Bảng chứa Hash và FilePath — là bằng chứng đã gửi gì cho ai lúc nào. Sửa được thì mất giá trị chứng minh.</t>
  </si>
  <si>
    <t>Bốn việc phải chốt trước khi backend bắt tay</t>
  </si>
  <si>
    <t>Việc</t>
  </si>
  <si>
    <t>Thời điểm</t>
  </si>
  <si>
    <t>Vấn đề</t>
  </si>
  <si>
    <t>Vì sao quan trọng / đề nghị</t>
  </si>
  <si>
    <t>Nghĩa của OUTBOUND</t>
  </si>
  <si>
    <t>GẤP — chặn mọi việc khác</t>
  </si>
  <si>
    <t>subscription.types.ts ghi 'OUTBOUND = mình đăng ký NHẬN'; editSubscription.vue hiển thị 'OUTBOUND = Gửi đi'. Hai chỗ ngược nhau.</t>
  </si>
  <si>
    <t>Chiều gửi thì đọc nguồn nội bộ, chiều nhận thì không — chọn nhầm là sai toàn bộ luồng. Cả 5 dòng dữ liệu hiện có đều OUTBOUND nên không suy ra được. Đề nghị lấy nghĩa của giao diện rồi sửa chú thích type.</t>
  </si>
  <si>
    <t>Danh mục shareData_type</t>
  </si>
  <si>
    <t>Trước khi dựng màn Gói tin</t>
  </si>
  <si>
    <t>Gỡ khỏi SysConfigType hay để chỉ đọc, sau khi có ShareDataPacket?</t>
  </si>
  <si>
    <t>Để cả hai cùng ghi được thì sẽ có hai danh sách gói tin lệch nhau. FE hiện gọi getConfigDataByCode(SharedataDatatype) ở nhiều chỗ, phải đổi sang API gói tin.</t>
  </si>
  <si>
    <t>Mã DatatypeId = '983'</t>
  </si>
  <si>
    <t>Trước khi seed dữ liệu</t>
  </si>
  <si>
    <t>Cả 5 đăng ký hiện có đều mang mã này, không thuộc dải 101–111.</t>
  </si>
  <si>
    <t>Nếu là mã thật thì phải tạo ShareDataPacket.Code = '983', nếu không 5 đăng ký đó thành mồ côi. Nếu là dữ liệu test thì dọn.</t>
  </si>
  <si>
    <t>Chiều INBOUND ghi vào đâu</t>
  </si>
  <si>
    <t>Trước khi làm chiều nhận</t>
  </si>
  <si>
    <t>Khi nhận dữ liệu từ đối tác, ghi vào bảng nghiệp vụ nào?</t>
  </si>
  <si>
    <t>Thiết kế hiện tại mô tả đầy đủ chiều GỬI. Chiều NHẬN cần khai thêm bảng/cột đích nội bộ. V1 có thể chỉ nhận và ghi nhật ký, chưa ghi vào nghiệp vụ.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</si>
</sst>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
    </font>
    <font>
      <b/>
      <sz val="16"/>
      <color rgb="FF1F4E79"/>
      <name val="Arial"/>
      <charset val="1"/>
    </font>
    <font>
      <i/>
      <sz val="10"/>
      <color rgb="FF595959"/>
      <name val="Arial"/>
      <charset val="1"/>
    </font>
    <font>
      <b/>
      <sz val="11"/>
      <name val="Arial"/>
      <charset val="1"/>
    </font>
    <font>
      <sz val="10"/>
      <name val="Arial"/>
      <charset val="1"/>
    </font>
    <font>
      <b/>
      <sz val="10"/>
      <color rgb="FFFFFFFF"/>
      <name val="Arial"/>
      <charset val="1"/>
    </font>
    <font>
      <sz val="9"/>
      <name val="Consolas"/>
      <charset val="1"/>
    </font>
    <font>
      <b/>
      <sz val="12"/>
      <color rgb="FF1F4E79"/>
      <name val="Arial"/>
      <charset val="1"/>
    </font>
    <font>
      <b/>
      <sz val="14"/>
      <color rgb="FF1F4E79"/>
      <name val="Arial"/>
      <charset val="1"/>
    </font>
    <font>
      <b/>
      <sz val="10"/>
      <name val="Arial"/>
      <charset val="1"/>
    </font>
    <font>
      <b/>
      <sz val="14"/>
      <color rgb="FF375623"/>
      <name val="Arial"/>
      <charset val="1"/>
    </font>
    <font>
      <b/>
      <sz val="14"/>
      <color rgb="FFC00000"/>
      <name val="Arial"/>
      <charset val="1"/>
    </font>
  </fonts>
  <fills count="9">
    <fill>
      <patternFill patternType="none"/>
    </fill>
    <fill>
      <patternFill patternType="gray125"/>
    </fill>
    <fill>
      <patternFill patternType="solid">
        <fgColor rgb="FF1F4E79"/>
        <bgColor rgb="FF003366"/>
      </patternFill>
    </fill>
    <fill>
      <patternFill patternType="solid">
        <fgColor rgb="FFFCE4D6"/>
        <bgColor rgb="FFFFD9D9"/>
      </patternFill>
    </fill>
    <fill>
      <patternFill patternType="solid">
        <fgColor rgb="FFDDEBF7"/>
        <bgColor rgb="FFE2EFDA"/>
      </patternFill>
    </fill>
    <fill>
      <patternFill patternType="solid">
        <fgColor rgb="FFFFD9D9"/>
        <bgColor rgb="FFFCE4D6"/>
      </patternFill>
    </fill>
    <fill>
      <patternFill patternType="solid">
        <fgColor rgb="FFFFF2CC"/>
        <bgColor rgb="FFFCE4D6"/>
      </patternFill>
    </fill>
    <fill>
      <patternFill patternType="solid">
        <fgColor rgb="FFF2F2F2"/>
        <bgColor rgb="FFE2EFDA"/>
      </patternFill>
    </fill>
    <fill>
      <patternFill patternType="solid">
        <fgColor rgb="FFE2EFDA"/>
        <bgColor rgb="FFDDEB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9">
    <xf numFmtId="0" fontId="0" fillId="0" borderId="0" xfId="0"/>
    <xf numFmtId="0" fontId="2" fillId="0" borderId="0" xfId="0" applyFont="1" applyBorder="1"/>
    <xf numFmtId="0" fontId="2" fillId="0" borderId="0" xfId="0" applyFont="1" applyBorder="1" applyAlignment="1">
      <alignment vertical="top" wrapText="1"/>
    </xf>
    <xf numFmtId="0" fontId="9" fillId="0" borderId="0" xfId="0" applyFont="1" applyBorder="1" applyAlignment="1">
      <alignment vertical="top" wrapText="1"/>
    </xf>
    <xf numFmtId="0" fontId="4" fillId="0" borderId="0" xfId="0" applyFont="1" applyBorder="1" applyAlignment="1">
      <alignment vertical="top" wrapText="1"/>
    </xf>
    <xf numFmtId="0" fontId="1" fillId="0" borderId="0" xfId="0" applyFont="1"/>
    <xf numFmtId="0" fontId="2" fillId="0" borderId="0" xfId="0" applyFont="1"/>
    <xf numFmtId="0" fontId="3" fillId="0" borderId="0" xfId="0" applyFont="1"/>
    <xf numFmtId="0" fontId="5"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6" fillId="0" borderId="1" xfId="0" applyFont="1" applyBorder="1" applyAlignment="1">
      <alignment horizontal="center" vertical="center" wrapText="1"/>
    </xf>
    <xf numFmtId="0" fontId="4" fillId="0" borderId="1" xfId="0" applyFont="1" applyBorder="1" applyAlignment="1">
      <alignment horizontal="left" vertical="top" wrapText="1"/>
    </xf>
    <xf numFmtId="0" fontId="4"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4" fillId="3" borderId="1" xfId="0" applyFont="1" applyFill="1" applyBorder="1" applyAlignment="1">
      <alignment horizontal="left" vertical="top" wrapText="1"/>
    </xf>
    <xf numFmtId="0" fontId="4" fillId="4"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4" fillId="4" borderId="1" xfId="0" applyFont="1" applyFill="1" applyBorder="1" applyAlignment="1">
      <alignment horizontal="left" vertical="top" wrapText="1"/>
    </xf>
    <xf numFmtId="0" fontId="4" fillId="5"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4" fillId="5" borderId="1" xfId="0" applyFont="1" applyFill="1" applyBorder="1" applyAlignment="1">
      <alignment horizontal="left" vertical="top" wrapText="1"/>
    </xf>
    <xf numFmtId="0" fontId="7" fillId="0" borderId="0" xfId="0" applyFont="1"/>
    <xf numFmtId="0" fontId="6" fillId="0" borderId="0" xfId="0" applyFont="1"/>
    <xf numFmtId="0" fontId="8" fillId="0" borderId="0" xfId="0" applyFont="1"/>
    <xf numFmtId="0" fontId="4" fillId="6" borderId="1" xfId="0" applyFont="1" applyFill="1" applyBorder="1" applyAlignment="1">
      <alignment horizontal="center" vertical="center" wrapText="1"/>
    </xf>
    <xf numFmtId="0" fontId="6" fillId="6"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6" fillId="0" borderId="1" xfId="0" applyFont="1" applyBorder="1" applyAlignment="1">
      <alignment horizontal="left" vertical="top" wrapText="1"/>
    </xf>
    <xf numFmtId="0" fontId="6" fillId="3" borderId="1" xfId="0" applyFont="1" applyFill="1" applyBorder="1" applyAlignment="1">
      <alignment horizontal="left" vertical="top" wrapText="1"/>
    </xf>
    <xf numFmtId="0" fontId="4" fillId="7" borderId="1" xfId="0" applyFont="1" applyFill="1" applyBorder="1" applyAlignment="1">
      <alignment horizontal="center" vertical="center" wrapText="1"/>
    </xf>
    <xf numFmtId="0" fontId="6" fillId="7" borderId="1" xfId="0" applyFont="1" applyFill="1" applyBorder="1" applyAlignment="1">
      <alignment horizontal="left" vertical="top" wrapText="1"/>
    </xf>
    <xf numFmtId="0" fontId="4" fillId="7" borderId="1" xfId="0" applyFont="1" applyFill="1" applyBorder="1" applyAlignment="1">
      <alignment horizontal="left" vertical="top" wrapText="1"/>
    </xf>
    <xf numFmtId="0" fontId="4" fillId="8" borderId="1" xfId="0" applyFont="1" applyFill="1" applyBorder="1" applyAlignment="1">
      <alignment horizontal="center" vertical="center" wrapText="1"/>
    </xf>
    <xf numFmtId="0" fontId="6" fillId="8" borderId="1" xfId="0" applyFont="1" applyFill="1" applyBorder="1" applyAlignment="1">
      <alignment horizontal="left" vertical="top" wrapText="1"/>
    </xf>
    <xf numFmtId="0" fontId="4" fillId="8" borderId="1" xfId="0" applyFont="1" applyFill="1" applyBorder="1" applyAlignment="1">
      <alignment horizontal="left" vertical="top" wrapText="1"/>
    </xf>
    <xf numFmtId="0" fontId="6" fillId="5" borderId="1" xfId="0" applyFont="1" applyFill="1" applyBorder="1" applyAlignment="1">
      <alignment horizontal="left" vertical="top" wrapText="1"/>
    </xf>
    <xf numFmtId="0" fontId="6" fillId="4" borderId="1" xfId="0" applyFont="1" applyFill="1" applyBorder="1" applyAlignment="1">
      <alignment horizontal="left" vertical="top" wrapText="1"/>
    </xf>
    <xf numFmtId="0" fontId="10" fillId="0" borderId="0" xfId="0" applyFont="1"/>
    <xf numFmtId="0" fontId="11"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E2EFDA"/>
      <rgbColor rgb="FFFCE4D6"/>
      <rgbColor rgb="FF99CCFF"/>
      <rgbColor rgb="FFFF99CC"/>
      <rgbColor rgb="FFCC99FF"/>
      <rgbColor rgb="FFFFD9D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7"/>
  <sheetViews>
    <sheetView showGridLines="0" tabSelected="1" zoomScaleNormal="100" workbookViewId="0">
      <pane ySplit="12" topLeftCell="A20" activePane="bottomLeft" state="frozen"/>
      <selection pane="bottomLeft" activeCell="A9" sqref="A9:F9"/>
    </sheetView>
  </sheetViews>
  <sheetFormatPr defaultColWidth="8.7109375" defaultRowHeight="15" x14ac:dyDescent="0.25"/>
  <cols>
    <col min="1" max="1" width="6" customWidth="1"/>
    <col min="2" max="2" width="26" customWidth="1"/>
    <col min="3" max="3" width="20" customWidth="1"/>
    <col min="4" max="4" width="9" customWidth="1"/>
    <col min="5" max="5" width="52" customWidth="1"/>
    <col min="6" max="6" width="70" customWidth="1"/>
  </cols>
  <sheetData>
    <row r="1" spans="1:6" ht="20.25" x14ac:dyDescent="0.3">
      <c r="A1" s="5" t="s">
        <v>0</v>
      </c>
    </row>
    <row r="2" spans="1:6" x14ac:dyDescent="0.25">
      <c r="A2" s="6" t="s">
        <v>1</v>
      </c>
    </row>
    <row r="4" spans="1:6" x14ac:dyDescent="0.25">
      <c r="A4" s="7" t="s">
        <v>2</v>
      </c>
    </row>
    <row r="6" spans="1:6" ht="27.75" customHeight="1" x14ac:dyDescent="0.25">
      <c r="A6" s="4" t="s">
        <v>3</v>
      </c>
      <c r="B6" s="4"/>
      <c r="C6" s="4"/>
      <c r="D6" s="4"/>
      <c r="E6" s="4"/>
      <c r="F6" s="4"/>
    </row>
    <row r="7" spans="1:6" ht="27.75" customHeight="1" x14ac:dyDescent="0.25">
      <c r="A7" s="4" t="s">
        <v>4</v>
      </c>
      <c r="B7" s="4"/>
      <c r="C7" s="4"/>
      <c r="D7" s="4"/>
      <c r="E7" s="4"/>
      <c r="F7" s="4"/>
    </row>
    <row r="8" spans="1:6" ht="27.75" customHeight="1" x14ac:dyDescent="0.25">
      <c r="A8" s="4" t="s">
        <v>5</v>
      </c>
      <c r="B8" s="4"/>
      <c r="C8" s="4"/>
      <c r="D8" s="4"/>
      <c r="E8" s="4"/>
      <c r="F8" s="4"/>
    </row>
    <row r="9" spans="1:6" ht="27.75" customHeight="1" x14ac:dyDescent="0.25">
      <c r="A9" s="4" t="s">
        <v>6</v>
      </c>
      <c r="B9" s="4"/>
      <c r="C9" s="4"/>
      <c r="D9" s="4"/>
      <c r="E9" s="4"/>
      <c r="F9" s="4"/>
    </row>
    <row r="10" spans="1:6" ht="27.75" customHeight="1" x14ac:dyDescent="0.25">
      <c r="A10" s="4" t="s">
        <v>7</v>
      </c>
      <c r="B10" s="4"/>
      <c r="C10" s="4"/>
      <c r="D10" s="4"/>
      <c r="E10" s="4"/>
      <c r="F10" s="4"/>
    </row>
    <row r="12" spans="1:6" ht="30" customHeight="1" x14ac:dyDescent="0.25">
      <c r="A12" s="8" t="s">
        <v>8</v>
      </c>
      <c r="B12" s="8" t="s">
        <v>9</v>
      </c>
      <c r="C12" s="8" t="s">
        <v>10</v>
      </c>
      <c r="D12" s="8" t="s">
        <v>11</v>
      </c>
      <c r="E12" s="8" t="s">
        <v>12</v>
      </c>
      <c r="F12" s="8" t="s">
        <v>13</v>
      </c>
    </row>
    <row r="13" spans="1:6" ht="48" customHeight="1" x14ac:dyDescent="0.25">
      <c r="A13" s="9">
        <v>1</v>
      </c>
      <c r="B13" s="10" t="s">
        <v>14</v>
      </c>
      <c r="C13" s="9" t="s">
        <v>15</v>
      </c>
      <c r="D13" s="11">
        <f>COUNTA(ShareDataPartner!B:B)-1</f>
        <v>24</v>
      </c>
      <c r="E13" s="11" t="s">
        <v>16</v>
      </c>
      <c r="F13" s="11" t="s">
        <v>17</v>
      </c>
    </row>
    <row r="14" spans="1:6" ht="48" customHeight="1" x14ac:dyDescent="0.25">
      <c r="A14" s="9">
        <v>2</v>
      </c>
      <c r="B14" s="10" t="s">
        <v>18</v>
      </c>
      <c r="C14" s="9" t="s">
        <v>15</v>
      </c>
      <c r="D14" s="11">
        <f>COUNTA(ShareDataSubscription!B:B)-1</f>
        <v>35</v>
      </c>
      <c r="E14" s="11" t="s">
        <v>19</v>
      </c>
      <c r="F14" s="11" t="s">
        <v>20</v>
      </c>
    </row>
    <row r="15" spans="1:6" ht="48" customHeight="1" x14ac:dyDescent="0.25">
      <c r="A15" s="9">
        <v>3</v>
      </c>
      <c r="B15" s="10" t="s">
        <v>21</v>
      </c>
      <c r="C15" s="9" t="s">
        <v>15</v>
      </c>
      <c r="D15" s="11">
        <f>COUNTA(ShareDataSession!B:B)-1</f>
        <v>22</v>
      </c>
      <c r="E15" s="11" t="s">
        <v>22</v>
      </c>
      <c r="F15" s="11" t="s">
        <v>23</v>
      </c>
    </row>
    <row r="16" spans="1:6" ht="48" customHeight="1" x14ac:dyDescent="0.25">
      <c r="A16" s="12">
        <v>4</v>
      </c>
      <c r="B16" s="13" t="s">
        <v>24</v>
      </c>
      <c r="C16" s="12" t="s">
        <v>25</v>
      </c>
      <c r="D16" s="14">
        <f>COUNTA(ShareDataActivityLog!B:B)-1</f>
        <v>41</v>
      </c>
      <c r="E16" s="14" t="s">
        <v>26</v>
      </c>
      <c r="F16" s="14" t="s">
        <v>27</v>
      </c>
    </row>
    <row r="17" spans="1:6" ht="48" customHeight="1" x14ac:dyDescent="0.25">
      <c r="A17" s="12">
        <v>5</v>
      </c>
      <c r="B17" s="13" t="s">
        <v>28</v>
      </c>
      <c r="C17" s="12" t="s">
        <v>29</v>
      </c>
      <c r="D17" s="14">
        <f>COUNTA(ShareDataEventSource!B:B)-1</f>
        <v>14</v>
      </c>
      <c r="E17" s="14" t="s">
        <v>30</v>
      </c>
      <c r="F17" s="14" t="s">
        <v>31</v>
      </c>
    </row>
    <row r="18" spans="1:6" ht="48" customHeight="1" x14ac:dyDescent="0.25">
      <c r="A18" s="15">
        <v>6</v>
      </c>
      <c r="B18" s="16" t="s">
        <v>32</v>
      </c>
      <c r="C18" s="15" t="s">
        <v>33</v>
      </c>
      <c r="D18" s="17">
        <f>COUNTA(ShareDataPacket!B:B)-1</f>
        <v>18</v>
      </c>
      <c r="E18" s="17" t="s">
        <v>34</v>
      </c>
      <c r="F18" s="17" t="s">
        <v>35</v>
      </c>
    </row>
    <row r="19" spans="1:6" ht="48" customHeight="1" x14ac:dyDescent="0.25">
      <c r="A19" s="15">
        <v>7</v>
      </c>
      <c r="B19" s="16" t="s">
        <v>36</v>
      </c>
      <c r="C19" s="15" t="s">
        <v>33</v>
      </c>
      <c r="D19" s="17">
        <f>COUNTA(ShareDataPacketTable!B:B)-1</f>
        <v>28</v>
      </c>
      <c r="E19" s="17" t="s">
        <v>37</v>
      </c>
      <c r="F19" s="17" t="s">
        <v>38</v>
      </c>
    </row>
    <row r="20" spans="1:6" ht="48" customHeight="1" x14ac:dyDescent="0.25">
      <c r="A20" s="15">
        <v>8</v>
      </c>
      <c r="B20" s="16" t="s">
        <v>39</v>
      </c>
      <c r="C20" s="15" t="s">
        <v>33</v>
      </c>
      <c r="D20" s="17">
        <f>COUNTA(ShareDataCodeSet!B:B)-1</f>
        <v>15</v>
      </c>
      <c r="E20" s="17" t="s">
        <v>40</v>
      </c>
      <c r="F20" s="17" t="s">
        <v>41</v>
      </c>
    </row>
    <row r="21" spans="1:6" ht="48" customHeight="1" x14ac:dyDescent="0.25">
      <c r="A21" s="15">
        <v>9</v>
      </c>
      <c r="B21" s="16" t="s">
        <v>42</v>
      </c>
      <c r="C21" s="15" t="s">
        <v>33</v>
      </c>
      <c r="D21" s="17">
        <f>COUNTA(ShareDataMapping!B:B)-1</f>
        <v>20</v>
      </c>
      <c r="E21" s="17" t="s">
        <v>43</v>
      </c>
      <c r="F21" s="17" t="s">
        <v>44</v>
      </c>
    </row>
    <row r="22" spans="1:6" ht="48" customHeight="1" x14ac:dyDescent="0.25">
      <c r="A22" s="15">
        <v>10</v>
      </c>
      <c r="B22" s="16" t="s">
        <v>45</v>
      </c>
      <c r="C22" s="15" t="s">
        <v>33</v>
      </c>
      <c r="D22" s="17">
        <f>COUNTA(ShareDataAlertLog!B:B)-1</f>
        <v>23</v>
      </c>
      <c r="E22" s="17" t="s">
        <v>46</v>
      </c>
      <c r="F22" s="17" t="s">
        <v>47</v>
      </c>
    </row>
    <row r="23" spans="1:6" ht="48" customHeight="1" x14ac:dyDescent="0.25">
      <c r="A23" s="18">
        <v>11</v>
      </c>
      <c r="B23" s="19" t="s">
        <v>48</v>
      </c>
      <c r="C23" s="18" t="s">
        <v>49</v>
      </c>
      <c r="D23" s="20" t="s">
        <v>50</v>
      </c>
      <c r="E23" s="20" t="s">
        <v>51</v>
      </c>
      <c r="F23" s="20" t="s">
        <v>52</v>
      </c>
    </row>
    <row r="24" spans="1:6" ht="48" customHeight="1" x14ac:dyDescent="0.25">
      <c r="A24" s="18">
        <v>12</v>
      </c>
      <c r="B24" s="19" t="s">
        <v>53</v>
      </c>
      <c r="C24" s="18" t="s">
        <v>49</v>
      </c>
      <c r="D24" s="20" t="s">
        <v>50</v>
      </c>
      <c r="E24" s="20" t="s">
        <v>54</v>
      </c>
      <c r="F24" s="20" t="s">
        <v>55</v>
      </c>
    </row>
    <row r="26" spans="1:6" ht="15.75" x14ac:dyDescent="0.25">
      <c r="A26" s="21" t="s">
        <v>56</v>
      </c>
    </row>
    <row r="27" spans="1:6" x14ac:dyDescent="0.25">
      <c r="A27" s="22" t="s">
        <v>57</v>
      </c>
    </row>
    <row r="28" spans="1:6" x14ac:dyDescent="0.25">
      <c r="A28" s="22" t="s">
        <v>58</v>
      </c>
    </row>
    <row r="29" spans="1:6" x14ac:dyDescent="0.25">
      <c r="A29" s="22" t="s">
        <v>59</v>
      </c>
    </row>
    <row r="30" spans="1:6" x14ac:dyDescent="0.25">
      <c r="A30" s="22" t="s">
        <v>60</v>
      </c>
    </row>
    <row r="31" spans="1:6" x14ac:dyDescent="0.25">
      <c r="A31" s="22" t="s">
        <v>61</v>
      </c>
    </row>
    <row r="32" spans="1:6" x14ac:dyDescent="0.25">
      <c r="A32" s="22" t="s">
        <v>62</v>
      </c>
    </row>
    <row r="33" spans="1:1" x14ac:dyDescent="0.25">
      <c r="A33" s="22" t="s">
        <v>63</v>
      </c>
    </row>
    <row r="34" spans="1:1" x14ac:dyDescent="0.25">
      <c r="A34" s="22" t="s">
        <v>64</v>
      </c>
    </row>
    <row r="35" spans="1:1" x14ac:dyDescent="0.25">
      <c r="A35" s="22" t="s">
        <v>65</v>
      </c>
    </row>
    <row r="36" spans="1:1" x14ac:dyDescent="0.25">
      <c r="A36" s="22" t="s">
        <v>66</v>
      </c>
    </row>
    <row r="37" spans="1:1" x14ac:dyDescent="0.25">
      <c r="A37" s="22" t="s">
        <v>67</v>
      </c>
    </row>
  </sheetData>
  <mergeCells count="5">
    <mergeCell ref="A6:F6"/>
    <mergeCell ref="A7:F7"/>
    <mergeCell ref="A8:F8"/>
    <mergeCell ref="A9:F9"/>
    <mergeCell ref="A10:F10"/>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showGridLines="0" zoomScaleNormal="100" workbookViewId="0">
      <pane ySplit="5" topLeftCell="A6" activePane="bottomLeft" state="frozen"/>
      <selection pane="bottomLeft"/>
    </sheetView>
  </sheetViews>
  <sheetFormatPr defaultColWidth="8.7109375" defaultRowHeight="15" x14ac:dyDescent="0.25"/>
  <cols>
    <col min="1" max="1" width="6" customWidth="1"/>
    <col min="2" max="2" width="24" customWidth="1"/>
    <col min="3" max="3" width="22" customWidth="1"/>
    <col min="4" max="4" width="14" customWidth="1"/>
    <col min="5" max="5" width="54" customWidth="1"/>
    <col min="6" max="6" width="72" customWidth="1"/>
  </cols>
  <sheetData>
    <row r="1" spans="1:6" ht="18" x14ac:dyDescent="0.25">
      <c r="A1" s="23" t="s">
        <v>14</v>
      </c>
    </row>
    <row r="2" spans="1:6" ht="30" customHeight="1" x14ac:dyDescent="0.25">
      <c r="A2" s="3" t="s">
        <v>68</v>
      </c>
      <c r="B2" s="3"/>
      <c r="C2" s="3"/>
      <c r="D2" s="3"/>
      <c r="E2" s="3"/>
      <c r="F2" s="3"/>
    </row>
    <row r="3" spans="1:6" ht="43.5" customHeight="1" x14ac:dyDescent="0.25">
      <c r="A3" s="2" t="s">
        <v>69</v>
      </c>
      <c r="B3" s="2"/>
      <c r="C3" s="2"/>
      <c r="D3" s="2"/>
      <c r="E3" s="2"/>
      <c r="F3" s="2"/>
    </row>
    <row r="5" spans="1:6" ht="30" customHeight="1" x14ac:dyDescent="0.25">
      <c r="A5" s="8" t="s">
        <v>8</v>
      </c>
      <c r="B5" s="8" t="s">
        <v>70</v>
      </c>
      <c r="C5" s="8" t="s">
        <v>71</v>
      </c>
      <c r="D5" s="8" t="s">
        <v>72</v>
      </c>
      <c r="E5" s="8" t="s">
        <v>12</v>
      </c>
      <c r="F5" s="8" t="s">
        <v>73</v>
      </c>
    </row>
    <row r="6" spans="1:6" ht="39.75" customHeight="1" x14ac:dyDescent="0.25">
      <c r="A6" s="24">
        <v>1</v>
      </c>
      <c r="B6" s="25" t="s">
        <v>74</v>
      </c>
      <c r="C6" s="25" t="s">
        <v>75</v>
      </c>
      <c r="D6" s="24" t="s">
        <v>76</v>
      </c>
      <c r="E6" s="26" t="s">
        <v>77</v>
      </c>
      <c r="F6" s="26" t="s">
        <v>78</v>
      </c>
    </row>
    <row r="7" spans="1:6" ht="39.75" customHeight="1" x14ac:dyDescent="0.25">
      <c r="A7" s="9">
        <v>2</v>
      </c>
      <c r="B7" s="27" t="s">
        <v>79</v>
      </c>
      <c r="C7" s="27" t="s">
        <v>80</v>
      </c>
      <c r="D7" s="9"/>
      <c r="E7" s="11" t="s">
        <v>81</v>
      </c>
      <c r="F7" s="11" t="s">
        <v>82</v>
      </c>
    </row>
    <row r="8" spans="1:6" ht="39.75" customHeight="1" x14ac:dyDescent="0.25">
      <c r="A8" s="9">
        <v>3</v>
      </c>
      <c r="B8" s="27" t="s">
        <v>83</v>
      </c>
      <c r="C8" s="27" t="s">
        <v>80</v>
      </c>
      <c r="D8" s="9" t="s">
        <v>84</v>
      </c>
      <c r="E8" s="11" t="s">
        <v>85</v>
      </c>
      <c r="F8" s="11" t="s">
        <v>86</v>
      </c>
    </row>
    <row r="9" spans="1:6" ht="39.75" customHeight="1" x14ac:dyDescent="0.25">
      <c r="A9" s="9">
        <v>4</v>
      </c>
      <c r="B9" s="27" t="s">
        <v>87</v>
      </c>
      <c r="C9" s="27" t="s">
        <v>88</v>
      </c>
      <c r="D9" s="9" t="s">
        <v>84</v>
      </c>
      <c r="E9" s="11" t="s">
        <v>89</v>
      </c>
      <c r="F9" s="11" t="s">
        <v>90</v>
      </c>
    </row>
    <row r="10" spans="1:6" ht="39.75" customHeight="1" x14ac:dyDescent="0.25">
      <c r="A10" s="9">
        <v>5</v>
      </c>
      <c r="B10" s="27" t="s">
        <v>91</v>
      </c>
      <c r="C10" s="27" t="s">
        <v>92</v>
      </c>
      <c r="D10" s="9" t="s">
        <v>84</v>
      </c>
      <c r="E10" s="11" t="s">
        <v>93</v>
      </c>
      <c r="F10" s="11" t="s">
        <v>94</v>
      </c>
    </row>
    <row r="11" spans="1:6" ht="39.75" customHeight="1" x14ac:dyDescent="0.25">
      <c r="A11" s="9">
        <v>6</v>
      </c>
      <c r="B11" s="27" t="s">
        <v>95</v>
      </c>
      <c r="C11" s="27" t="s">
        <v>75</v>
      </c>
      <c r="D11" s="9" t="s">
        <v>84</v>
      </c>
      <c r="E11" s="11" t="s">
        <v>96</v>
      </c>
      <c r="F11" s="11" t="s">
        <v>97</v>
      </c>
    </row>
    <row r="12" spans="1:6" ht="39.75" customHeight="1" x14ac:dyDescent="0.25">
      <c r="A12" s="9">
        <v>7</v>
      </c>
      <c r="B12" s="27" t="s">
        <v>98</v>
      </c>
      <c r="C12" s="27" t="s">
        <v>99</v>
      </c>
      <c r="D12" s="9" t="s">
        <v>84</v>
      </c>
      <c r="E12" s="11" t="s">
        <v>100</v>
      </c>
      <c r="F12" s="11" t="s">
        <v>101</v>
      </c>
    </row>
    <row r="13" spans="1:6" ht="39.75" customHeight="1" x14ac:dyDescent="0.25">
      <c r="A13" s="9">
        <v>8</v>
      </c>
      <c r="B13" s="27" t="s">
        <v>102</v>
      </c>
      <c r="C13" s="27" t="s">
        <v>103</v>
      </c>
      <c r="D13" s="9" t="s">
        <v>84</v>
      </c>
      <c r="E13" s="11" t="s">
        <v>104</v>
      </c>
      <c r="F13" s="11" t="s">
        <v>105</v>
      </c>
    </row>
    <row r="14" spans="1:6" ht="39.75" customHeight="1" x14ac:dyDescent="0.25">
      <c r="A14" s="9">
        <v>9</v>
      </c>
      <c r="B14" s="27" t="s">
        <v>106</v>
      </c>
      <c r="C14" s="27" t="s">
        <v>88</v>
      </c>
      <c r="D14" s="9" t="s">
        <v>84</v>
      </c>
      <c r="E14" s="11" t="s">
        <v>107</v>
      </c>
      <c r="F14" s="11" t="s">
        <v>108</v>
      </c>
    </row>
    <row r="15" spans="1:6" ht="39.75" customHeight="1" x14ac:dyDescent="0.25">
      <c r="A15" s="9">
        <v>10</v>
      </c>
      <c r="B15" s="27" t="s">
        <v>109</v>
      </c>
      <c r="C15" s="27" t="s">
        <v>88</v>
      </c>
      <c r="D15" s="9" t="s">
        <v>84</v>
      </c>
      <c r="E15" s="11" t="s">
        <v>110</v>
      </c>
      <c r="F15" s="11" t="s">
        <v>111</v>
      </c>
    </row>
    <row r="16" spans="1:6" ht="39.75" customHeight="1" x14ac:dyDescent="0.25">
      <c r="A16" s="9">
        <v>11</v>
      </c>
      <c r="B16" s="27" t="s">
        <v>112</v>
      </c>
      <c r="C16" s="27" t="s">
        <v>88</v>
      </c>
      <c r="D16" s="9" t="s">
        <v>84</v>
      </c>
      <c r="E16" s="11" t="s">
        <v>113</v>
      </c>
      <c r="F16" s="11" t="s">
        <v>114</v>
      </c>
    </row>
    <row r="17" spans="1:6" ht="39.75" customHeight="1" x14ac:dyDescent="0.25">
      <c r="A17" s="9">
        <v>12</v>
      </c>
      <c r="B17" s="27" t="s">
        <v>115</v>
      </c>
      <c r="C17" s="27" t="s">
        <v>116</v>
      </c>
      <c r="D17" s="9" t="s">
        <v>84</v>
      </c>
      <c r="E17" s="11" t="s">
        <v>117</v>
      </c>
      <c r="F17" s="11" t="s">
        <v>118</v>
      </c>
    </row>
    <row r="18" spans="1:6" ht="39.75" customHeight="1" x14ac:dyDescent="0.25">
      <c r="A18" s="12">
        <v>13</v>
      </c>
      <c r="B18" s="28" t="s">
        <v>119</v>
      </c>
      <c r="C18" s="28" t="s">
        <v>88</v>
      </c>
      <c r="D18" s="12" t="s">
        <v>120</v>
      </c>
      <c r="E18" s="14" t="s">
        <v>121</v>
      </c>
      <c r="F18" s="14" t="s">
        <v>122</v>
      </c>
    </row>
    <row r="19" spans="1:6" ht="39.75" customHeight="1" x14ac:dyDescent="0.25">
      <c r="A19" s="12">
        <v>14</v>
      </c>
      <c r="B19" s="28" t="s">
        <v>123</v>
      </c>
      <c r="C19" s="28" t="s">
        <v>88</v>
      </c>
      <c r="D19" s="12" t="s">
        <v>120</v>
      </c>
      <c r="E19" s="14" t="s">
        <v>124</v>
      </c>
      <c r="F19" s="14" t="s">
        <v>125</v>
      </c>
    </row>
    <row r="20" spans="1:6" ht="39.75" customHeight="1" x14ac:dyDescent="0.25">
      <c r="A20" s="9">
        <v>15</v>
      </c>
      <c r="B20" s="27" t="s">
        <v>126</v>
      </c>
      <c r="C20" s="27" t="s">
        <v>88</v>
      </c>
      <c r="D20" s="9"/>
      <c r="E20" s="11" t="s">
        <v>127</v>
      </c>
      <c r="F20" s="11" t="s">
        <v>128</v>
      </c>
    </row>
    <row r="21" spans="1:6" ht="39.75" customHeight="1" x14ac:dyDescent="0.25">
      <c r="A21" s="29">
        <v>16</v>
      </c>
      <c r="B21" s="30" t="s">
        <v>129</v>
      </c>
      <c r="C21" s="30" t="s">
        <v>99</v>
      </c>
      <c r="D21" s="29" t="s">
        <v>130</v>
      </c>
      <c r="E21" s="31" t="s">
        <v>131</v>
      </c>
      <c r="F21" s="31" t="s">
        <v>132</v>
      </c>
    </row>
    <row r="22" spans="1:6" ht="39.75" customHeight="1" x14ac:dyDescent="0.25">
      <c r="A22" s="29">
        <v>17</v>
      </c>
      <c r="B22" s="30" t="s">
        <v>133</v>
      </c>
      <c r="C22" s="30" t="s">
        <v>75</v>
      </c>
      <c r="D22" s="29" t="s">
        <v>130</v>
      </c>
      <c r="E22" s="31" t="s">
        <v>134</v>
      </c>
      <c r="F22" s="31" t="s">
        <v>135</v>
      </c>
    </row>
    <row r="23" spans="1:6" ht="39.75" customHeight="1" x14ac:dyDescent="0.25">
      <c r="A23" s="29">
        <v>18</v>
      </c>
      <c r="B23" s="30" t="s">
        <v>136</v>
      </c>
      <c r="C23" s="30" t="s">
        <v>75</v>
      </c>
      <c r="D23" s="29" t="s">
        <v>130</v>
      </c>
      <c r="E23" s="31" t="s">
        <v>137</v>
      </c>
      <c r="F23" s="31" t="s">
        <v>138</v>
      </c>
    </row>
    <row r="24" spans="1:6" ht="39.75" customHeight="1" x14ac:dyDescent="0.25">
      <c r="A24" s="29">
        <v>19</v>
      </c>
      <c r="B24" s="30" t="s">
        <v>139</v>
      </c>
      <c r="C24" s="30" t="s">
        <v>140</v>
      </c>
      <c r="D24" s="29" t="s">
        <v>130</v>
      </c>
      <c r="E24" s="31" t="s">
        <v>141</v>
      </c>
      <c r="F24" s="31" t="s">
        <v>142</v>
      </c>
    </row>
    <row r="25" spans="1:6" ht="39.75" customHeight="1" x14ac:dyDescent="0.25">
      <c r="A25" s="29">
        <v>20</v>
      </c>
      <c r="B25" s="30" t="s">
        <v>143</v>
      </c>
      <c r="C25" s="30" t="s">
        <v>75</v>
      </c>
      <c r="D25" s="29" t="s">
        <v>130</v>
      </c>
      <c r="E25" s="31" t="s">
        <v>144</v>
      </c>
      <c r="F25" s="31" t="s">
        <v>145</v>
      </c>
    </row>
    <row r="26" spans="1:6" ht="39.75" customHeight="1" x14ac:dyDescent="0.25">
      <c r="A26" s="29">
        <v>21</v>
      </c>
      <c r="B26" s="30" t="s">
        <v>146</v>
      </c>
      <c r="C26" s="30" t="s">
        <v>140</v>
      </c>
      <c r="D26" s="29" t="s">
        <v>130</v>
      </c>
      <c r="E26" s="31" t="s">
        <v>147</v>
      </c>
      <c r="F26" s="31" t="s">
        <v>148</v>
      </c>
    </row>
    <row r="27" spans="1:6" ht="39.75" customHeight="1" x14ac:dyDescent="0.25">
      <c r="A27" s="29">
        <v>22</v>
      </c>
      <c r="B27" s="30" t="s">
        <v>149</v>
      </c>
      <c r="C27" s="30" t="s">
        <v>75</v>
      </c>
      <c r="D27" s="29" t="s">
        <v>130</v>
      </c>
      <c r="E27" s="31" t="s">
        <v>150</v>
      </c>
      <c r="F27" s="31" t="s">
        <v>145</v>
      </c>
    </row>
    <row r="28" spans="1:6" ht="39.75" customHeight="1" x14ac:dyDescent="0.25">
      <c r="A28" s="29">
        <v>23</v>
      </c>
      <c r="B28" s="30" t="s">
        <v>151</v>
      </c>
      <c r="C28" s="30" t="s">
        <v>103</v>
      </c>
      <c r="D28" s="29" t="s">
        <v>130</v>
      </c>
      <c r="E28" s="31" t="s">
        <v>152</v>
      </c>
      <c r="F28" s="31" t="s">
        <v>153</v>
      </c>
    </row>
    <row r="29" spans="1:6" ht="39.75" customHeight="1" x14ac:dyDescent="0.25">
      <c r="A29" s="29">
        <v>24</v>
      </c>
      <c r="B29" s="30" t="s">
        <v>154</v>
      </c>
      <c r="C29" s="30" t="s">
        <v>140</v>
      </c>
      <c r="D29" s="29" t="s">
        <v>130</v>
      </c>
      <c r="E29" s="31" t="s">
        <v>155</v>
      </c>
      <c r="F29" s="31" t="s">
        <v>156</v>
      </c>
    </row>
  </sheetData>
  <mergeCells count="2">
    <mergeCell ref="A2:F2"/>
    <mergeCell ref="A3:F3"/>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0"/>
  <sheetViews>
    <sheetView showGridLines="0" zoomScaleNormal="100" workbookViewId="0">
      <pane ySplit="5" topLeftCell="A6" activePane="bottomLeft" state="frozen"/>
      <selection pane="bottomLeft"/>
    </sheetView>
  </sheetViews>
  <sheetFormatPr defaultColWidth="8.7109375" defaultRowHeight="15" x14ac:dyDescent="0.25"/>
  <cols>
    <col min="1" max="1" width="6" customWidth="1"/>
    <col min="2" max="2" width="24" customWidth="1"/>
    <col min="3" max="3" width="22" customWidth="1"/>
    <col min="4" max="4" width="14" customWidth="1"/>
    <col min="5" max="5" width="54" customWidth="1"/>
    <col min="6" max="6" width="72" customWidth="1"/>
  </cols>
  <sheetData>
    <row r="1" spans="1:6" ht="18" x14ac:dyDescent="0.25">
      <c r="A1" s="23" t="s">
        <v>18</v>
      </c>
    </row>
    <row r="2" spans="1:6" ht="30" customHeight="1" x14ac:dyDescent="0.25">
      <c r="A2" s="3" t="s">
        <v>157</v>
      </c>
      <c r="B2" s="3"/>
      <c r="C2" s="3"/>
      <c r="D2" s="3"/>
      <c r="E2" s="3"/>
      <c r="F2" s="3"/>
    </row>
    <row r="3" spans="1:6" ht="43.5" customHeight="1" x14ac:dyDescent="0.25">
      <c r="A3" s="2" t="s">
        <v>158</v>
      </c>
      <c r="B3" s="2"/>
      <c r="C3" s="2"/>
      <c r="D3" s="2"/>
      <c r="E3" s="2"/>
      <c r="F3" s="2"/>
    </row>
    <row r="5" spans="1:6" ht="30" customHeight="1" x14ac:dyDescent="0.25">
      <c r="A5" s="8" t="s">
        <v>8</v>
      </c>
      <c r="B5" s="8" t="s">
        <v>70</v>
      </c>
      <c r="C5" s="8" t="s">
        <v>71</v>
      </c>
      <c r="D5" s="8" t="s">
        <v>72</v>
      </c>
      <c r="E5" s="8" t="s">
        <v>12</v>
      </c>
      <c r="F5" s="8" t="s">
        <v>73</v>
      </c>
    </row>
    <row r="6" spans="1:6" ht="39.75" customHeight="1" x14ac:dyDescent="0.25">
      <c r="A6" s="24">
        <v>1</v>
      </c>
      <c r="B6" s="25" t="s">
        <v>74</v>
      </c>
      <c r="C6" s="25" t="s">
        <v>75</v>
      </c>
      <c r="D6" s="24" t="s">
        <v>76</v>
      </c>
      <c r="E6" s="26" t="s">
        <v>77</v>
      </c>
      <c r="F6" s="26" t="s">
        <v>159</v>
      </c>
    </row>
    <row r="7" spans="1:6" ht="39.75" customHeight="1" x14ac:dyDescent="0.25">
      <c r="A7" s="12">
        <v>2</v>
      </c>
      <c r="B7" s="28" t="s">
        <v>160</v>
      </c>
      <c r="C7" s="28" t="s">
        <v>75</v>
      </c>
      <c r="D7" s="12" t="s">
        <v>120</v>
      </c>
      <c r="E7" s="14" t="s">
        <v>161</v>
      </c>
      <c r="F7" s="14" t="s">
        <v>162</v>
      </c>
    </row>
    <row r="8" spans="1:6" ht="39.75" customHeight="1" x14ac:dyDescent="0.25">
      <c r="A8" s="9">
        <v>3</v>
      </c>
      <c r="B8" s="27" t="s">
        <v>163</v>
      </c>
      <c r="C8" s="27" t="s">
        <v>75</v>
      </c>
      <c r="D8" s="9"/>
      <c r="E8" s="11" t="s">
        <v>164</v>
      </c>
      <c r="F8" s="11" t="s">
        <v>165</v>
      </c>
    </row>
    <row r="9" spans="1:6" ht="39.75" customHeight="1" x14ac:dyDescent="0.25">
      <c r="A9" s="12">
        <v>4</v>
      </c>
      <c r="B9" s="28" t="s">
        <v>166</v>
      </c>
      <c r="C9" s="28" t="s">
        <v>92</v>
      </c>
      <c r="D9" s="12" t="s">
        <v>120</v>
      </c>
      <c r="E9" s="14" t="s">
        <v>167</v>
      </c>
      <c r="F9" s="14" t="s">
        <v>168</v>
      </c>
    </row>
    <row r="10" spans="1:6" ht="39.75" customHeight="1" x14ac:dyDescent="0.25">
      <c r="A10" s="9">
        <v>5</v>
      </c>
      <c r="B10" s="27" t="s">
        <v>169</v>
      </c>
      <c r="C10" s="27" t="s">
        <v>88</v>
      </c>
      <c r="D10" s="9" t="s">
        <v>84</v>
      </c>
      <c r="E10" s="11" t="s">
        <v>170</v>
      </c>
      <c r="F10" s="11" t="s">
        <v>171</v>
      </c>
    </row>
    <row r="11" spans="1:6" ht="39.75" customHeight="1" x14ac:dyDescent="0.25">
      <c r="A11" s="12">
        <v>6</v>
      </c>
      <c r="B11" s="28" t="s">
        <v>172</v>
      </c>
      <c r="C11" s="28" t="s">
        <v>103</v>
      </c>
      <c r="D11" s="12" t="s">
        <v>120</v>
      </c>
      <c r="E11" s="14" t="s">
        <v>173</v>
      </c>
      <c r="F11" s="14" t="s">
        <v>174</v>
      </c>
    </row>
    <row r="12" spans="1:6" ht="39.75" customHeight="1" x14ac:dyDescent="0.25">
      <c r="A12" s="9">
        <v>7</v>
      </c>
      <c r="B12" s="27" t="s">
        <v>175</v>
      </c>
      <c r="C12" s="27" t="s">
        <v>92</v>
      </c>
      <c r="D12" s="9" t="s">
        <v>176</v>
      </c>
      <c r="E12" s="11" t="s">
        <v>177</v>
      </c>
      <c r="F12" s="11" t="s">
        <v>178</v>
      </c>
    </row>
    <row r="13" spans="1:6" ht="39.75" customHeight="1" x14ac:dyDescent="0.25">
      <c r="A13" s="32">
        <v>8</v>
      </c>
      <c r="B13" s="33" t="s">
        <v>179</v>
      </c>
      <c r="C13" s="33" t="s">
        <v>180</v>
      </c>
      <c r="D13" s="32" t="s">
        <v>181</v>
      </c>
      <c r="E13" s="34" t="s">
        <v>182</v>
      </c>
      <c r="F13" s="34" t="s">
        <v>183</v>
      </c>
    </row>
    <row r="14" spans="1:6" ht="39.75" customHeight="1" x14ac:dyDescent="0.25">
      <c r="A14" s="9">
        <v>9</v>
      </c>
      <c r="B14" s="27" t="s">
        <v>184</v>
      </c>
      <c r="C14" s="27" t="s">
        <v>185</v>
      </c>
      <c r="D14" s="9"/>
      <c r="E14" s="11" t="s">
        <v>186</v>
      </c>
      <c r="F14" s="11" t="s">
        <v>187</v>
      </c>
    </row>
    <row r="15" spans="1:6" ht="39.75" customHeight="1" x14ac:dyDescent="0.25">
      <c r="A15" s="9">
        <v>10</v>
      </c>
      <c r="B15" s="27" t="s">
        <v>188</v>
      </c>
      <c r="C15" s="27" t="s">
        <v>88</v>
      </c>
      <c r="D15" s="9" t="s">
        <v>84</v>
      </c>
      <c r="E15" s="11" t="s">
        <v>189</v>
      </c>
      <c r="F15" s="11" t="s">
        <v>190</v>
      </c>
    </row>
    <row r="16" spans="1:6" ht="39.75" customHeight="1" x14ac:dyDescent="0.25">
      <c r="A16" s="9">
        <v>11</v>
      </c>
      <c r="B16" s="27" t="s">
        <v>191</v>
      </c>
      <c r="C16" s="27" t="s">
        <v>116</v>
      </c>
      <c r="D16" s="9" t="s">
        <v>84</v>
      </c>
      <c r="E16" s="11" t="s">
        <v>192</v>
      </c>
      <c r="F16" s="11" t="s">
        <v>193</v>
      </c>
    </row>
    <row r="17" spans="1:6" ht="39.75" customHeight="1" x14ac:dyDescent="0.25">
      <c r="A17" s="9">
        <v>12</v>
      </c>
      <c r="B17" s="27" t="s">
        <v>194</v>
      </c>
      <c r="C17" s="27" t="s">
        <v>116</v>
      </c>
      <c r="D17" s="9" t="s">
        <v>84</v>
      </c>
      <c r="E17" s="11" t="s">
        <v>195</v>
      </c>
      <c r="F17" s="11" t="s">
        <v>196</v>
      </c>
    </row>
    <row r="18" spans="1:6" ht="39.75" customHeight="1" x14ac:dyDescent="0.25">
      <c r="A18" s="12">
        <v>13</v>
      </c>
      <c r="B18" s="28" t="s">
        <v>197</v>
      </c>
      <c r="C18" s="28" t="s">
        <v>88</v>
      </c>
      <c r="D18" s="12" t="s">
        <v>120</v>
      </c>
      <c r="E18" s="14" t="s">
        <v>198</v>
      </c>
      <c r="F18" s="14" t="s">
        <v>199</v>
      </c>
    </row>
    <row r="19" spans="1:6" ht="39.75" customHeight="1" x14ac:dyDescent="0.25">
      <c r="A19" s="9">
        <v>14</v>
      </c>
      <c r="B19" s="27" t="s">
        <v>200</v>
      </c>
      <c r="C19" s="27" t="s">
        <v>99</v>
      </c>
      <c r="D19" s="9"/>
      <c r="E19" s="11" t="s">
        <v>201</v>
      </c>
      <c r="F19" s="11" t="s">
        <v>202</v>
      </c>
    </row>
    <row r="20" spans="1:6" ht="39.75" customHeight="1" x14ac:dyDescent="0.25">
      <c r="A20" s="9">
        <v>15</v>
      </c>
      <c r="B20" s="27" t="s">
        <v>203</v>
      </c>
      <c r="C20" s="27" t="s">
        <v>99</v>
      </c>
      <c r="D20" s="9"/>
      <c r="E20" s="11" t="s">
        <v>204</v>
      </c>
      <c r="F20" s="11" t="s">
        <v>205</v>
      </c>
    </row>
    <row r="21" spans="1:6" ht="39.75" customHeight="1" x14ac:dyDescent="0.25">
      <c r="A21" s="9">
        <v>16</v>
      </c>
      <c r="B21" s="27" t="s">
        <v>206</v>
      </c>
      <c r="C21" s="27" t="s">
        <v>140</v>
      </c>
      <c r="D21" s="9"/>
      <c r="E21" s="11" t="s">
        <v>207</v>
      </c>
      <c r="F21" s="11" t="s">
        <v>208</v>
      </c>
    </row>
    <row r="22" spans="1:6" ht="39.75" customHeight="1" x14ac:dyDescent="0.25">
      <c r="A22" s="9">
        <v>17</v>
      </c>
      <c r="B22" s="27" t="s">
        <v>209</v>
      </c>
      <c r="C22" s="27" t="s">
        <v>140</v>
      </c>
      <c r="D22" s="9"/>
      <c r="E22" s="11" t="s">
        <v>210</v>
      </c>
      <c r="F22" s="11" t="s">
        <v>211</v>
      </c>
    </row>
    <row r="23" spans="1:6" ht="39.75" customHeight="1" x14ac:dyDescent="0.25">
      <c r="A23" s="9">
        <v>18</v>
      </c>
      <c r="B23" s="27" t="s">
        <v>212</v>
      </c>
      <c r="C23" s="27" t="s">
        <v>75</v>
      </c>
      <c r="D23" s="9"/>
      <c r="E23" s="11" t="s">
        <v>213</v>
      </c>
      <c r="F23" s="11" t="s">
        <v>214</v>
      </c>
    </row>
    <row r="24" spans="1:6" ht="39.75" customHeight="1" x14ac:dyDescent="0.25">
      <c r="A24" s="18">
        <v>19</v>
      </c>
      <c r="B24" s="35" t="s">
        <v>215</v>
      </c>
      <c r="C24" s="35" t="s">
        <v>75</v>
      </c>
      <c r="D24" s="18" t="s">
        <v>216</v>
      </c>
      <c r="E24" s="20" t="s">
        <v>217</v>
      </c>
      <c r="F24" s="20" t="s">
        <v>218</v>
      </c>
    </row>
    <row r="25" spans="1:6" ht="39.75" customHeight="1" x14ac:dyDescent="0.25">
      <c r="A25" s="18">
        <v>20</v>
      </c>
      <c r="B25" s="35" t="s">
        <v>219</v>
      </c>
      <c r="C25" s="35" t="s">
        <v>75</v>
      </c>
      <c r="D25" s="18" t="s">
        <v>216</v>
      </c>
      <c r="E25" s="20" t="s">
        <v>217</v>
      </c>
      <c r="F25" s="20" t="s">
        <v>220</v>
      </c>
    </row>
    <row r="26" spans="1:6" ht="39.75" customHeight="1" x14ac:dyDescent="0.25">
      <c r="A26" s="9">
        <v>21</v>
      </c>
      <c r="B26" s="27" t="s">
        <v>221</v>
      </c>
      <c r="C26" s="27" t="s">
        <v>75</v>
      </c>
      <c r="D26" s="9" t="s">
        <v>176</v>
      </c>
      <c r="E26" s="11" t="s">
        <v>222</v>
      </c>
      <c r="F26" s="11" t="s">
        <v>223</v>
      </c>
    </row>
    <row r="27" spans="1:6" ht="39.75" customHeight="1" x14ac:dyDescent="0.25">
      <c r="A27" s="9">
        <v>22</v>
      </c>
      <c r="B27" s="27" t="s">
        <v>224</v>
      </c>
      <c r="C27" s="27" t="s">
        <v>88</v>
      </c>
      <c r="D27" s="9" t="s">
        <v>176</v>
      </c>
      <c r="E27" s="11" t="s">
        <v>225</v>
      </c>
      <c r="F27" s="11" t="s">
        <v>226</v>
      </c>
    </row>
    <row r="28" spans="1:6" ht="39.75" customHeight="1" x14ac:dyDescent="0.25">
      <c r="A28" s="9">
        <v>23</v>
      </c>
      <c r="B28" s="27" t="s">
        <v>227</v>
      </c>
      <c r="C28" s="27" t="s">
        <v>103</v>
      </c>
      <c r="D28" s="9" t="s">
        <v>176</v>
      </c>
      <c r="E28" s="11" t="s">
        <v>228</v>
      </c>
      <c r="F28" s="11" t="s">
        <v>229</v>
      </c>
    </row>
    <row r="29" spans="1:6" ht="39.75" customHeight="1" x14ac:dyDescent="0.25">
      <c r="A29" s="9">
        <v>24</v>
      </c>
      <c r="B29" s="27" t="s">
        <v>230</v>
      </c>
      <c r="C29" s="27" t="s">
        <v>88</v>
      </c>
      <c r="D29" s="9" t="s">
        <v>176</v>
      </c>
      <c r="E29" s="11" t="s">
        <v>231</v>
      </c>
      <c r="F29" s="11" t="s">
        <v>232</v>
      </c>
    </row>
    <row r="30" spans="1:6" ht="39.75" customHeight="1" x14ac:dyDescent="0.25">
      <c r="A30" s="9">
        <v>25</v>
      </c>
      <c r="B30" s="27" t="s">
        <v>233</v>
      </c>
      <c r="C30" s="27" t="s">
        <v>140</v>
      </c>
      <c r="D30" s="9" t="s">
        <v>176</v>
      </c>
      <c r="E30" s="11" t="s">
        <v>234</v>
      </c>
      <c r="F30" s="11" t="s">
        <v>235</v>
      </c>
    </row>
    <row r="31" spans="1:6" ht="39.75" customHeight="1" x14ac:dyDescent="0.25">
      <c r="A31" s="9">
        <v>26</v>
      </c>
      <c r="B31" s="27" t="s">
        <v>236</v>
      </c>
      <c r="C31" s="27" t="s">
        <v>140</v>
      </c>
      <c r="D31" s="9" t="s">
        <v>176</v>
      </c>
      <c r="E31" s="11" t="s">
        <v>237</v>
      </c>
      <c r="F31" s="11" t="s">
        <v>238</v>
      </c>
    </row>
    <row r="32" spans="1:6" ht="39.75" customHeight="1" x14ac:dyDescent="0.25">
      <c r="A32" s="29">
        <v>27</v>
      </c>
      <c r="B32" s="30" t="s">
        <v>129</v>
      </c>
      <c r="C32" s="30" t="s">
        <v>99</v>
      </c>
      <c r="D32" s="29" t="s">
        <v>130</v>
      </c>
      <c r="E32" s="31" t="s">
        <v>131</v>
      </c>
      <c r="F32" s="31" t="s">
        <v>132</v>
      </c>
    </row>
    <row r="33" spans="1:6" ht="39.75" customHeight="1" x14ac:dyDescent="0.25">
      <c r="A33" s="29">
        <v>28</v>
      </c>
      <c r="B33" s="30" t="s">
        <v>133</v>
      </c>
      <c r="C33" s="30" t="s">
        <v>75</v>
      </c>
      <c r="D33" s="29" t="s">
        <v>130</v>
      </c>
      <c r="E33" s="31" t="s">
        <v>134</v>
      </c>
      <c r="F33" s="31" t="s">
        <v>135</v>
      </c>
    </row>
    <row r="34" spans="1:6" ht="39.75" customHeight="1" x14ac:dyDescent="0.25">
      <c r="A34" s="29">
        <v>29</v>
      </c>
      <c r="B34" s="30" t="s">
        <v>136</v>
      </c>
      <c r="C34" s="30" t="s">
        <v>75</v>
      </c>
      <c r="D34" s="29" t="s">
        <v>130</v>
      </c>
      <c r="E34" s="31" t="s">
        <v>137</v>
      </c>
      <c r="F34" s="31" t="s">
        <v>138</v>
      </c>
    </row>
    <row r="35" spans="1:6" ht="39.75" customHeight="1" x14ac:dyDescent="0.25">
      <c r="A35" s="29">
        <v>30</v>
      </c>
      <c r="B35" s="30" t="s">
        <v>139</v>
      </c>
      <c r="C35" s="30" t="s">
        <v>140</v>
      </c>
      <c r="D35" s="29" t="s">
        <v>130</v>
      </c>
      <c r="E35" s="31" t="s">
        <v>141</v>
      </c>
      <c r="F35" s="31" t="s">
        <v>142</v>
      </c>
    </row>
    <row r="36" spans="1:6" ht="39.75" customHeight="1" x14ac:dyDescent="0.25">
      <c r="A36" s="29">
        <v>31</v>
      </c>
      <c r="B36" s="30" t="s">
        <v>143</v>
      </c>
      <c r="C36" s="30" t="s">
        <v>75</v>
      </c>
      <c r="D36" s="29" t="s">
        <v>130</v>
      </c>
      <c r="E36" s="31" t="s">
        <v>144</v>
      </c>
      <c r="F36" s="31" t="s">
        <v>145</v>
      </c>
    </row>
    <row r="37" spans="1:6" ht="39.75" customHeight="1" x14ac:dyDescent="0.25">
      <c r="A37" s="29">
        <v>32</v>
      </c>
      <c r="B37" s="30" t="s">
        <v>146</v>
      </c>
      <c r="C37" s="30" t="s">
        <v>140</v>
      </c>
      <c r="D37" s="29" t="s">
        <v>130</v>
      </c>
      <c r="E37" s="31" t="s">
        <v>147</v>
      </c>
      <c r="F37" s="31" t="s">
        <v>148</v>
      </c>
    </row>
    <row r="38" spans="1:6" ht="39.75" customHeight="1" x14ac:dyDescent="0.25">
      <c r="A38" s="29">
        <v>33</v>
      </c>
      <c r="B38" s="30" t="s">
        <v>149</v>
      </c>
      <c r="C38" s="30" t="s">
        <v>75</v>
      </c>
      <c r="D38" s="29" t="s">
        <v>130</v>
      </c>
      <c r="E38" s="31" t="s">
        <v>150</v>
      </c>
      <c r="F38" s="31" t="s">
        <v>145</v>
      </c>
    </row>
    <row r="39" spans="1:6" ht="39.75" customHeight="1" x14ac:dyDescent="0.25">
      <c r="A39" s="29">
        <v>34</v>
      </c>
      <c r="B39" s="30" t="s">
        <v>151</v>
      </c>
      <c r="C39" s="30" t="s">
        <v>103</v>
      </c>
      <c r="D39" s="29" t="s">
        <v>130</v>
      </c>
      <c r="E39" s="31" t="s">
        <v>152</v>
      </c>
      <c r="F39" s="31" t="s">
        <v>153</v>
      </c>
    </row>
    <row r="40" spans="1:6" ht="39.75" customHeight="1" x14ac:dyDescent="0.25">
      <c r="A40" s="29">
        <v>35</v>
      </c>
      <c r="B40" s="30" t="s">
        <v>154</v>
      </c>
      <c r="C40" s="30" t="s">
        <v>140</v>
      </c>
      <c r="D40" s="29" t="s">
        <v>130</v>
      </c>
      <c r="E40" s="31" t="s">
        <v>155</v>
      </c>
      <c r="F40" s="31" t="s">
        <v>156</v>
      </c>
    </row>
  </sheetData>
  <mergeCells count="2">
    <mergeCell ref="A2:F2"/>
    <mergeCell ref="A3:F3"/>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7"/>
  <sheetViews>
    <sheetView showGridLines="0" zoomScaleNormal="100" workbookViewId="0">
      <pane ySplit="5" topLeftCell="A6" activePane="bottomLeft" state="frozen"/>
      <selection pane="bottomLeft"/>
    </sheetView>
  </sheetViews>
  <sheetFormatPr defaultColWidth="8.7109375" defaultRowHeight="15" x14ac:dyDescent="0.25"/>
  <cols>
    <col min="1" max="1" width="6" customWidth="1"/>
    <col min="2" max="2" width="24" customWidth="1"/>
    <col min="3" max="3" width="22" customWidth="1"/>
    <col min="4" max="4" width="14" customWidth="1"/>
    <col min="5" max="5" width="54" customWidth="1"/>
    <col min="6" max="6" width="72" customWidth="1"/>
  </cols>
  <sheetData>
    <row r="1" spans="1:6" ht="18" x14ac:dyDescent="0.25">
      <c r="A1" s="23" t="s">
        <v>21</v>
      </c>
    </row>
    <row r="2" spans="1:6" ht="30" customHeight="1" x14ac:dyDescent="0.25">
      <c r="A2" s="3" t="s">
        <v>239</v>
      </c>
      <c r="B2" s="3"/>
      <c r="C2" s="3"/>
      <c r="D2" s="3"/>
      <c r="E2" s="3"/>
      <c r="F2" s="3"/>
    </row>
    <row r="3" spans="1:6" ht="43.5" customHeight="1" x14ac:dyDescent="0.25">
      <c r="A3" s="2" t="s">
        <v>240</v>
      </c>
      <c r="B3" s="2"/>
      <c r="C3" s="2"/>
      <c r="D3" s="2"/>
      <c r="E3" s="2"/>
      <c r="F3" s="2"/>
    </row>
    <row r="5" spans="1:6" ht="30" customHeight="1" x14ac:dyDescent="0.25">
      <c r="A5" s="8" t="s">
        <v>8</v>
      </c>
      <c r="B5" s="8" t="s">
        <v>70</v>
      </c>
      <c r="C5" s="8" t="s">
        <v>71</v>
      </c>
      <c r="D5" s="8" t="s">
        <v>72</v>
      </c>
      <c r="E5" s="8" t="s">
        <v>12</v>
      </c>
      <c r="F5" s="8" t="s">
        <v>73</v>
      </c>
    </row>
    <row r="6" spans="1:6" ht="39.75" customHeight="1" x14ac:dyDescent="0.25">
      <c r="A6" s="24">
        <v>1</v>
      </c>
      <c r="B6" s="25" t="s">
        <v>74</v>
      </c>
      <c r="C6" s="25" t="s">
        <v>75</v>
      </c>
      <c r="D6" s="24" t="s">
        <v>76</v>
      </c>
      <c r="E6" s="26" t="s">
        <v>77</v>
      </c>
      <c r="F6" s="26" t="s">
        <v>159</v>
      </c>
    </row>
    <row r="7" spans="1:6" ht="39.75" customHeight="1" x14ac:dyDescent="0.25">
      <c r="A7" s="9">
        <v>2</v>
      </c>
      <c r="B7" s="27" t="s">
        <v>160</v>
      </c>
      <c r="C7" s="27" t="s">
        <v>75</v>
      </c>
      <c r="D7" s="9" t="s">
        <v>241</v>
      </c>
      <c r="E7" s="11" t="s">
        <v>242</v>
      </c>
      <c r="F7" s="11" t="s">
        <v>243</v>
      </c>
    </row>
    <row r="8" spans="1:6" ht="39.75" customHeight="1" x14ac:dyDescent="0.25">
      <c r="A8" s="9">
        <v>3</v>
      </c>
      <c r="B8" s="27" t="s">
        <v>166</v>
      </c>
      <c r="C8" s="27" t="s">
        <v>185</v>
      </c>
      <c r="D8" s="9"/>
      <c r="E8" s="11" t="s">
        <v>244</v>
      </c>
      <c r="F8" s="11" t="s">
        <v>245</v>
      </c>
    </row>
    <row r="9" spans="1:6" ht="39.75" customHeight="1" x14ac:dyDescent="0.25">
      <c r="A9" s="12">
        <v>4</v>
      </c>
      <c r="B9" s="28" t="s">
        <v>197</v>
      </c>
      <c r="C9" s="28" t="s">
        <v>92</v>
      </c>
      <c r="D9" s="12" t="s">
        <v>120</v>
      </c>
      <c r="E9" s="14" t="s">
        <v>246</v>
      </c>
      <c r="F9" s="14" t="s">
        <v>247</v>
      </c>
    </row>
    <row r="10" spans="1:6" ht="39.75" customHeight="1" x14ac:dyDescent="0.25">
      <c r="A10" s="9">
        <v>5</v>
      </c>
      <c r="B10" s="27" t="s">
        <v>248</v>
      </c>
      <c r="C10" s="27" t="s">
        <v>140</v>
      </c>
      <c r="D10" s="9"/>
      <c r="E10" s="11" t="s">
        <v>249</v>
      </c>
      <c r="F10" s="11" t="s">
        <v>250</v>
      </c>
    </row>
    <row r="11" spans="1:6" ht="39.75" customHeight="1" x14ac:dyDescent="0.25">
      <c r="A11" s="9">
        <v>6</v>
      </c>
      <c r="B11" s="27" t="s">
        <v>251</v>
      </c>
      <c r="C11" s="27" t="s">
        <v>140</v>
      </c>
      <c r="D11" s="9"/>
      <c r="E11" s="11" t="s">
        <v>252</v>
      </c>
      <c r="F11" s="11" t="s">
        <v>253</v>
      </c>
    </row>
    <row r="12" spans="1:6" ht="39.75" customHeight="1" x14ac:dyDescent="0.25">
      <c r="A12" s="9">
        <v>7</v>
      </c>
      <c r="B12" s="27" t="s">
        <v>254</v>
      </c>
      <c r="C12" s="27" t="s">
        <v>140</v>
      </c>
      <c r="D12" s="9"/>
      <c r="E12" s="11" t="s">
        <v>255</v>
      </c>
      <c r="F12" s="11" t="s">
        <v>256</v>
      </c>
    </row>
    <row r="13" spans="1:6" ht="39.75" customHeight="1" x14ac:dyDescent="0.25">
      <c r="A13" s="9">
        <v>8</v>
      </c>
      <c r="B13" s="27" t="s">
        <v>257</v>
      </c>
      <c r="C13" s="27" t="s">
        <v>75</v>
      </c>
      <c r="D13" s="9"/>
      <c r="E13" s="11" t="s">
        <v>258</v>
      </c>
      <c r="F13" s="11" t="s">
        <v>259</v>
      </c>
    </row>
    <row r="14" spans="1:6" ht="39.75" customHeight="1" x14ac:dyDescent="0.25">
      <c r="A14" s="9">
        <v>9</v>
      </c>
      <c r="B14" s="27" t="s">
        <v>260</v>
      </c>
      <c r="C14" s="27" t="s">
        <v>261</v>
      </c>
      <c r="D14" s="9"/>
      <c r="E14" s="11" t="s">
        <v>262</v>
      </c>
      <c r="F14" s="11" t="s">
        <v>263</v>
      </c>
    </row>
    <row r="15" spans="1:6" ht="39.75" customHeight="1" x14ac:dyDescent="0.25">
      <c r="A15" s="9">
        <v>10</v>
      </c>
      <c r="B15" s="27" t="s">
        <v>264</v>
      </c>
      <c r="C15" s="27" t="s">
        <v>261</v>
      </c>
      <c r="D15" s="9"/>
      <c r="E15" s="11" t="s">
        <v>265</v>
      </c>
      <c r="F15" s="11" t="s">
        <v>266</v>
      </c>
    </row>
    <row r="16" spans="1:6" ht="39.75" customHeight="1" x14ac:dyDescent="0.25">
      <c r="A16" s="9">
        <v>11</v>
      </c>
      <c r="B16" s="27" t="s">
        <v>267</v>
      </c>
      <c r="C16" s="27" t="s">
        <v>140</v>
      </c>
      <c r="D16" s="9"/>
      <c r="E16" s="11" t="s">
        <v>268</v>
      </c>
      <c r="F16" s="11" t="s">
        <v>269</v>
      </c>
    </row>
    <row r="17" spans="1:6" ht="39.75" customHeight="1" x14ac:dyDescent="0.25">
      <c r="A17" s="9">
        <v>12</v>
      </c>
      <c r="B17" s="27" t="s">
        <v>270</v>
      </c>
      <c r="C17" s="27" t="s">
        <v>88</v>
      </c>
      <c r="D17" s="9"/>
      <c r="E17" s="11" t="s">
        <v>271</v>
      </c>
      <c r="F17" s="11" t="s">
        <v>272</v>
      </c>
    </row>
    <row r="18" spans="1:6" ht="39.75" customHeight="1" x14ac:dyDescent="0.25">
      <c r="A18" s="9">
        <v>13</v>
      </c>
      <c r="B18" s="27" t="s">
        <v>273</v>
      </c>
      <c r="C18" s="27" t="s">
        <v>88</v>
      </c>
      <c r="D18" s="9" t="s">
        <v>84</v>
      </c>
      <c r="E18" s="11" t="s">
        <v>274</v>
      </c>
      <c r="F18" s="11" t="s">
        <v>275</v>
      </c>
    </row>
    <row r="19" spans="1:6" ht="39.75" customHeight="1" x14ac:dyDescent="0.25">
      <c r="A19" s="29">
        <v>14</v>
      </c>
      <c r="B19" s="30" t="s">
        <v>129</v>
      </c>
      <c r="C19" s="30" t="s">
        <v>99</v>
      </c>
      <c r="D19" s="29" t="s">
        <v>130</v>
      </c>
      <c r="E19" s="31" t="s">
        <v>131</v>
      </c>
      <c r="F19" s="31" t="s">
        <v>132</v>
      </c>
    </row>
    <row r="20" spans="1:6" ht="39.75" customHeight="1" x14ac:dyDescent="0.25">
      <c r="A20" s="29">
        <v>15</v>
      </c>
      <c r="B20" s="30" t="s">
        <v>133</v>
      </c>
      <c r="C20" s="30" t="s">
        <v>75</v>
      </c>
      <c r="D20" s="29" t="s">
        <v>130</v>
      </c>
      <c r="E20" s="31" t="s">
        <v>134</v>
      </c>
      <c r="F20" s="31" t="s">
        <v>135</v>
      </c>
    </row>
    <row r="21" spans="1:6" ht="39.75" customHeight="1" x14ac:dyDescent="0.25">
      <c r="A21" s="29">
        <v>16</v>
      </c>
      <c r="B21" s="30" t="s">
        <v>136</v>
      </c>
      <c r="C21" s="30" t="s">
        <v>75</v>
      </c>
      <c r="D21" s="29" t="s">
        <v>130</v>
      </c>
      <c r="E21" s="31" t="s">
        <v>137</v>
      </c>
      <c r="F21" s="31" t="s">
        <v>138</v>
      </c>
    </row>
    <row r="22" spans="1:6" ht="39.75" customHeight="1" x14ac:dyDescent="0.25">
      <c r="A22" s="29">
        <v>17</v>
      </c>
      <c r="B22" s="30" t="s">
        <v>139</v>
      </c>
      <c r="C22" s="30" t="s">
        <v>140</v>
      </c>
      <c r="D22" s="29" t="s">
        <v>130</v>
      </c>
      <c r="E22" s="31" t="s">
        <v>141</v>
      </c>
      <c r="F22" s="31" t="s">
        <v>142</v>
      </c>
    </row>
    <row r="23" spans="1:6" ht="39.75" customHeight="1" x14ac:dyDescent="0.25">
      <c r="A23" s="29">
        <v>18</v>
      </c>
      <c r="B23" s="30" t="s">
        <v>143</v>
      </c>
      <c r="C23" s="30" t="s">
        <v>75</v>
      </c>
      <c r="D23" s="29" t="s">
        <v>130</v>
      </c>
      <c r="E23" s="31" t="s">
        <v>144</v>
      </c>
      <c r="F23" s="31" t="s">
        <v>145</v>
      </c>
    </row>
    <row r="24" spans="1:6" ht="39.75" customHeight="1" x14ac:dyDescent="0.25">
      <c r="A24" s="29">
        <v>19</v>
      </c>
      <c r="B24" s="30" t="s">
        <v>146</v>
      </c>
      <c r="C24" s="30" t="s">
        <v>140</v>
      </c>
      <c r="D24" s="29" t="s">
        <v>130</v>
      </c>
      <c r="E24" s="31" t="s">
        <v>147</v>
      </c>
      <c r="F24" s="31" t="s">
        <v>148</v>
      </c>
    </row>
    <row r="25" spans="1:6" ht="39.75" customHeight="1" x14ac:dyDescent="0.25">
      <c r="A25" s="29">
        <v>20</v>
      </c>
      <c r="B25" s="30" t="s">
        <v>149</v>
      </c>
      <c r="C25" s="30" t="s">
        <v>75</v>
      </c>
      <c r="D25" s="29" t="s">
        <v>130</v>
      </c>
      <c r="E25" s="31" t="s">
        <v>150</v>
      </c>
      <c r="F25" s="31" t="s">
        <v>145</v>
      </c>
    </row>
    <row r="26" spans="1:6" ht="39.75" customHeight="1" x14ac:dyDescent="0.25">
      <c r="A26" s="29">
        <v>21</v>
      </c>
      <c r="B26" s="30" t="s">
        <v>151</v>
      </c>
      <c r="C26" s="30" t="s">
        <v>103</v>
      </c>
      <c r="D26" s="29" t="s">
        <v>130</v>
      </c>
      <c r="E26" s="31" t="s">
        <v>152</v>
      </c>
      <c r="F26" s="31" t="s">
        <v>153</v>
      </c>
    </row>
    <row r="27" spans="1:6" ht="39.75" customHeight="1" x14ac:dyDescent="0.25">
      <c r="A27" s="29">
        <v>22</v>
      </c>
      <c r="B27" s="30" t="s">
        <v>154</v>
      </c>
      <c r="C27" s="30" t="s">
        <v>140</v>
      </c>
      <c r="D27" s="29" t="s">
        <v>130</v>
      </c>
      <c r="E27" s="31" t="s">
        <v>155</v>
      </c>
      <c r="F27" s="31" t="s">
        <v>156</v>
      </c>
    </row>
  </sheetData>
  <mergeCells count="2">
    <mergeCell ref="A2:F2"/>
    <mergeCell ref="A3:F3"/>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46"/>
  <sheetViews>
    <sheetView showGridLines="0" zoomScaleNormal="100" workbookViewId="0">
      <pane ySplit="5" topLeftCell="A6" activePane="bottomLeft" state="frozen"/>
      <selection pane="bottomLeft"/>
    </sheetView>
  </sheetViews>
  <sheetFormatPr defaultColWidth="8.7109375" defaultRowHeight="15" x14ac:dyDescent="0.25"/>
  <cols>
    <col min="1" max="1" width="6" customWidth="1"/>
    <col min="2" max="2" width="24" customWidth="1"/>
    <col min="3" max="3" width="22" customWidth="1"/>
    <col min="4" max="4" width="14" customWidth="1"/>
    <col min="5" max="5" width="54" customWidth="1"/>
    <col min="6" max="6" width="72" customWidth="1"/>
  </cols>
  <sheetData>
    <row r="1" spans="1:6" ht="18" x14ac:dyDescent="0.25">
      <c r="A1" s="23" t="s">
        <v>24</v>
      </c>
    </row>
    <row r="2" spans="1:6" ht="30" customHeight="1" x14ac:dyDescent="0.25">
      <c r="A2" s="3" t="s">
        <v>276</v>
      </c>
      <c r="B2" s="3"/>
      <c r="C2" s="3"/>
      <c r="D2" s="3"/>
      <c r="E2" s="3"/>
      <c r="F2" s="3"/>
    </row>
    <row r="3" spans="1:6" ht="43.5" customHeight="1" x14ac:dyDescent="0.25">
      <c r="A3" s="2" t="s">
        <v>277</v>
      </c>
      <c r="B3" s="2"/>
      <c r="C3" s="2"/>
      <c r="D3" s="2"/>
      <c r="E3" s="2"/>
      <c r="F3" s="2"/>
    </row>
    <row r="5" spans="1:6" ht="30" customHeight="1" x14ac:dyDescent="0.25">
      <c r="A5" s="8" t="s">
        <v>8</v>
      </c>
      <c r="B5" s="8" t="s">
        <v>70</v>
      </c>
      <c r="C5" s="8" t="s">
        <v>71</v>
      </c>
      <c r="D5" s="8" t="s">
        <v>72</v>
      </c>
      <c r="E5" s="8" t="s">
        <v>12</v>
      </c>
      <c r="F5" s="8" t="s">
        <v>73</v>
      </c>
    </row>
    <row r="6" spans="1:6" ht="39.75" customHeight="1" x14ac:dyDescent="0.25">
      <c r="A6" s="24">
        <v>1</v>
      </c>
      <c r="B6" s="25" t="s">
        <v>74</v>
      </c>
      <c r="C6" s="25" t="s">
        <v>75</v>
      </c>
      <c r="D6" s="24" t="s">
        <v>76</v>
      </c>
      <c r="E6" s="26" t="s">
        <v>77</v>
      </c>
      <c r="F6" s="26" t="s">
        <v>159</v>
      </c>
    </row>
    <row r="7" spans="1:6" ht="39.75" customHeight="1" x14ac:dyDescent="0.25">
      <c r="A7" s="12">
        <v>2</v>
      </c>
      <c r="B7" s="28" t="s">
        <v>278</v>
      </c>
      <c r="C7" s="28" t="s">
        <v>92</v>
      </c>
      <c r="D7" s="12" t="s">
        <v>120</v>
      </c>
      <c r="E7" s="14" t="s">
        <v>279</v>
      </c>
      <c r="F7" s="14" t="s">
        <v>280</v>
      </c>
    </row>
    <row r="8" spans="1:6" ht="39.75" customHeight="1" x14ac:dyDescent="0.25">
      <c r="A8" s="12">
        <v>3</v>
      </c>
      <c r="B8" s="28" t="s">
        <v>281</v>
      </c>
      <c r="C8" s="28" t="s">
        <v>92</v>
      </c>
      <c r="D8" s="12" t="s">
        <v>120</v>
      </c>
      <c r="E8" s="14" t="s">
        <v>282</v>
      </c>
      <c r="F8" s="14" t="s">
        <v>283</v>
      </c>
    </row>
    <row r="9" spans="1:6" ht="39.75" customHeight="1" x14ac:dyDescent="0.25">
      <c r="A9" s="9">
        <v>4</v>
      </c>
      <c r="B9" s="27" t="s">
        <v>284</v>
      </c>
      <c r="C9" s="27" t="s">
        <v>140</v>
      </c>
      <c r="D9" s="9"/>
      <c r="E9" s="11" t="s">
        <v>285</v>
      </c>
      <c r="F9" s="11" t="s">
        <v>286</v>
      </c>
    </row>
    <row r="10" spans="1:6" ht="39.75" customHeight="1" x14ac:dyDescent="0.25">
      <c r="A10" s="9">
        <v>5</v>
      </c>
      <c r="B10" s="27" t="s">
        <v>119</v>
      </c>
      <c r="C10" s="27" t="s">
        <v>92</v>
      </c>
      <c r="D10" s="9"/>
      <c r="E10" s="11" t="s">
        <v>287</v>
      </c>
      <c r="F10" s="11" t="s">
        <v>288</v>
      </c>
    </row>
    <row r="11" spans="1:6" ht="39.75" customHeight="1" x14ac:dyDescent="0.25">
      <c r="A11" s="9">
        <v>6</v>
      </c>
      <c r="B11" s="27" t="s">
        <v>289</v>
      </c>
      <c r="C11" s="27" t="s">
        <v>290</v>
      </c>
      <c r="D11" s="9"/>
      <c r="E11" s="11" t="s">
        <v>291</v>
      </c>
      <c r="F11" s="11" t="s">
        <v>292</v>
      </c>
    </row>
    <row r="12" spans="1:6" ht="39.75" customHeight="1" x14ac:dyDescent="0.25">
      <c r="A12" s="9">
        <v>7</v>
      </c>
      <c r="B12" s="27" t="s">
        <v>293</v>
      </c>
      <c r="C12" s="27" t="s">
        <v>290</v>
      </c>
      <c r="D12" s="9"/>
      <c r="E12" s="11" t="s">
        <v>294</v>
      </c>
      <c r="F12" s="11" t="s">
        <v>295</v>
      </c>
    </row>
    <row r="13" spans="1:6" ht="39.75" customHeight="1" x14ac:dyDescent="0.25">
      <c r="A13" s="9">
        <v>8</v>
      </c>
      <c r="B13" s="27" t="s">
        <v>296</v>
      </c>
      <c r="C13" s="27" t="s">
        <v>103</v>
      </c>
      <c r="D13" s="9" t="s">
        <v>297</v>
      </c>
      <c r="E13" s="11" t="s">
        <v>298</v>
      </c>
      <c r="F13" s="11" t="s">
        <v>299</v>
      </c>
    </row>
    <row r="14" spans="1:6" ht="39.75" customHeight="1" x14ac:dyDescent="0.25">
      <c r="A14" s="9">
        <v>9</v>
      </c>
      <c r="B14" s="27" t="s">
        <v>300</v>
      </c>
      <c r="C14" s="27" t="s">
        <v>75</v>
      </c>
      <c r="D14" s="9" t="s">
        <v>297</v>
      </c>
      <c r="E14" s="11" t="s">
        <v>301</v>
      </c>
      <c r="F14" s="11" t="s">
        <v>302</v>
      </c>
    </row>
    <row r="15" spans="1:6" ht="39.75" customHeight="1" x14ac:dyDescent="0.25">
      <c r="A15" s="9">
        <v>10</v>
      </c>
      <c r="B15" s="27" t="s">
        <v>303</v>
      </c>
      <c r="C15" s="27" t="s">
        <v>80</v>
      </c>
      <c r="D15" s="9" t="s">
        <v>297</v>
      </c>
      <c r="E15" s="11" t="s">
        <v>304</v>
      </c>
      <c r="F15" s="11" t="s">
        <v>305</v>
      </c>
    </row>
    <row r="16" spans="1:6" ht="39.75" customHeight="1" x14ac:dyDescent="0.25">
      <c r="A16" s="9">
        <v>11</v>
      </c>
      <c r="B16" s="27" t="s">
        <v>160</v>
      </c>
      <c r="C16" s="27" t="s">
        <v>75</v>
      </c>
      <c r="D16" s="9"/>
      <c r="E16" s="11" t="s">
        <v>306</v>
      </c>
      <c r="F16" s="11" t="s">
        <v>307</v>
      </c>
    </row>
    <row r="17" spans="1:6" ht="39.75" customHeight="1" x14ac:dyDescent="0.25">
      <c r="A17" s="9">
        <v>12</v>
      </c>
      <c r="B17" s="27" t="s">
        <v>308</v>
      </c>
      <c r="C17" s="27" t="s">
        <v>80</v>
      </c>
      <c r="D17" s="9"/>
      <c r="E17" s="11" t="s">
        <v>309</v>
      </c>
      <c r="F17" s="11" t="s">
        <v>310</v>
      </c>
    </row>
    <row r="18" spans="1:6" ht="39.75" customHeight="1" x14ac:dyDescent="0.25">
      <c r="A18" s="9">
        <v>13</v>
      </c>
      <c r="B18" s="27" t="s">
        <v>311</v>
      </c>
      <c r="C18" s="27" t="s">
        <v>180</v>
      </c>
      <c r="D18" s="9" t="s">
        <v>297</v>
      </c>
      <c r="E18" s="11" t="s">
        <v>312</v>
      </c>
      <c r="F18" s="11" t="s">
        <v>313</v>
      </c>
    </row>
    <row r="19" spans="1:6" ht="39.75" customHeight="1" x14ac:dyDescent="0.25">
      <c r="A19" s="9">
        <v>14</v>
      </c>
      <c r="B19" s="27" t="s">
        <v>314</v>
      </c>
      <c r="C19" s="27" t="s">
        <v>180</v>
      </c>
      <c r="D19" s="9" t="s">
        <v>297</v>
      </c>
      <c r="E19" s="11" t="s">
        <v>315</v>
      </c>
      <c r="F19" s="11" t="s">
        <v>316</v>
      </c>
    </row>
    <row r="20" spans="1:6" ht="39.75" customHeight="1" x14ac:dyDescent="0.25">
      <c r="A20" s="9">
        <v>15</v>
      </c>
      <c r="B20" s="27" t="s">
        <v>317</v>
      </c>
      <c r="C20" s="27" t="s">
        <v>290</v>
      </c>
      <c r="D20" s="9" t="s">
        <v>297</v>
      </c>
      <c r="E20" s="11" t="s">
        <v>318</v>
      </c>
      <c r="F20" s="11" t="s">
        <v>319</v>
      </c>
    </row>
    <row r="21" spans="1:6" ht="39.75" customHeight="1" x14ac:dyDescent="0.25">
      <c r="A21" s="9">
        <v>16</v>
      </c>
      <c r="B21" s="27" t="s">
        <v>320</v>
      </c>
      <c r="C21" s="27" t="s">
        <v>75</v>
      </c>
      <c r="D21" s="9" t="s">
        <v>321</v>
      </c>
      <c r="E21" s="11" t="s">
        <v>322</v>
      </c>
      <c r="F21" s="11" t="s">
        <v>323</v>
      </c>
    </row>
    <row r="22" spans="1:6" ht="39.75" customHeight="1" x14ac:dyDescent="0.25">
      <c r="A22" s="9">
        <v>17</v>
      </c>
      <c r="B22" s="27" t="s">
        <v>163</v>
      </c>
      <c r="C22" s="27" t="s">
        <v>75</v>
      </c>
      <c r="D22" s="9" t="s">
        <v>321</v>
      </c>
      <c r="E22" s="11" t="s">
        <v>324</v>
      </c>
      <c r="F22" s="11" t="s">
        <v>325</v>
      </c>
    </row>
    <row r="23" spans="1:6" ht="39.75" customHeight="1" x14ac:dyDescent="0.25">
      <c r="A23" s="9">
        <v>18</v>
      </c>
      <c r="B23" s="27" t="s">
        <v>326</v>
      </c>
      <c r="C23" s="27" t="s">
        <v>185</v>
      </c>
      <c r="D23" s="9" t="s">
        <v>321</v>
      </c>
      <c r="E23" s="11" t="s">
        <v>327</v>
      </c>
      <c r="F23" s="11" t="s">
        <v>328</v>
      </c>
    </row>
    <row r="24" spans="1:6" ht="39.75" customHeight="1" x14ac:dyDescent="0.25">
      <c r="A24" s="9">
        <v>19</v>
      </c>
      <c r="B24" s="27" t="s">
        <v>172</v>
      </c>
      <c r="C24" s="27" t="s">
        <v>103</v>
      </c>
      <c r="D24" s="9" t="s">
        <v>321</v>
      </c>
      <c r="E24" s="11" t="s">
        <v>173</v>
      </c>
      <c r="F24" s="11" t="s">
        <v>329</v>
      </c>
    </row>
    <row r="25" spans="1:6" ht="39.75" customHeight="1" x14ac:dyDescent="0.25">
      <c r="A25" s="9">
        <v>20</v>
      </c>
      <c r="B25" s="27" t="s">
        <v>169</v>
      </c>
      <c r="C25" s="27" t="s">
        <v>88</v>
      </c>
      <c r="D25" s="9" t="s">
        <v>321</v>
      </c>
      <c r="E25" s="11" t="s">
        <v>330</v>
      </c>
      <c r="F25" s="11" t="s">
        <v>331</v>
      </c>
    </row>
    <row r="26" spans="1:6" ht="39.75" customHeight="1" x14ac:dyDescent="0.25">
      <c r="A26" s="9">
        <v>21</v>
      </c>
      <c r="B26" s="27" t="s">
        <v>332</v>
      </c>
      <c r="C26" s="27" t="s">
        <v>88</v>
      </c>
      <c r="D26" s="9" t="s">
        <v>321</v>
      </c>
      <c r="E26" s="11" t="s">
        <v>333</v>
      </c>
      <c r="F26" s="11" t="s">
        <v>334</v>
      </c>
    </row>
    <row r="27" spans="1:6" ht="39.75" customHeight="1" x14ac:dyDescent="0.25">
      <c r="A27" s="9">
        <v>22</v>
      </c>
      <c r="B27" s="27" t="s">
        <v>335</v>
      </c>
      <c r="C27" s="27" t="s">
        <v>103</v>
      </c>
      <c r="D27" s="9" t="s">
        <v>321</v>
      </c>
      <c r="E27" s="11" t="s">
        <v>336</v>
      </c>
      <c r="F27" s="11" t="s">
        <v>337</v>
      </c>
    </row>
    <row r="28" spans="1:6" ht="39.75" customHeight="1" x14ac:dyDescent="0.25">
      <c r="A28" s="9">
        <v>23</v>
      </c>
      <c r="B28" s="27" t="s">
        <v>184</v>
      </c>
      <c r="C28" s="27" t="s">
        <v>185</v>
      </c>
      <c r="D28" s="9" t="s">
        <v>321</v>
      </c>
      <c r="E28" s="11" t="s">
        <v>186</v>
      </c>
      <c r="F28" s="11" t="s">
        <v>338</v>
      </c>
    </row>
    <row r="29" spans="1:6" ht="39.75" customHeight="1" x14ac:dyDescent="0.25">
      <c r="A29" s="9">
        <v>24</v>
      </c>
      <c r="B29" s="27" t="s">
        <v>339</v>
      </c>
      <c r="C29" s="27" t="s">
        <v>261</v>
      </c>
      <c r="D29" s="9" t="s">
        <v>321</v>
      </c>
      <c r="E29" s="11" t="s">
        <v>340</v>
      </c>
      <c r="F29" s="11" t="s">
        <v>341</v>
      </c>
    </row>
    <row r="30" spans="1:6" ht="39.75" customHeight="1" x14ac:dyDescent="0.25">
      <c r="A30" s="9">
        <v>25</v>
      </c>
      <c r="B30" s="27" t="s">
        <v>342</v>
      </c>
      <c r="C30" s="27" t="s">
        <v>88</v>
      </c>
      <c r="D30" s="9" t="s">
        <v>321</v>
      </c>
      <c r="E30" s="11" t="s">
        <v>343</v>
      </c>
      <c r="F30" s="11" t="s">
        <v>344</v>
      </c>
    </row>
    <row r="31" spans="1:6" ht="39.75" customHeight="1" x14ac:dyDescent="0.25">
      <c r="A31" s="9">
        <v>26</v>
      </c>
      <c r="B31" s="27" t="s">
        <v>345</v>
      </c>
      <c r="C31" s="27" t="s">
        <v>290</v>
      </c>
      <c r="D31" s="9" t="s">
        <v>321</v>
      </c>
      <c r="E31" s="11" t="s">
        <v>346</v>
      </c>
      <c r="F31" s="11" t="s">
        <v>347</v>
      </c>
    </row>
    <row r="32" spans="1:6" ht="39.75" customHeight="1" x14ac:dyDescent="0.25">
      <c r="A32" s="9">
        <v>27</v>
      </c>
      <c r="B32" s="27" t="s">
        <v>348</v>
      </c>
      <c r="C32" s="27" t="s">
        <v>80</v>
      </c>
      <c r="D32" s="9" t="s">
        <v>321</v>
      </c>
      <c r="E32" s="11" t="s">
        <v>349</v>
      </c>
      <c r="F32" s="11" t="s">
        <v>350</v>
      </c>
    </row>
    <row r="33" spans="1:6" ht="39.75" customHeight="1" x14ac:dyDescent="0.25">
      <c r="A33" s="9">
        <v>28</v>
      </c>
      <c r="B33" s="27" t="s">
        <v>351</v>
      </c>
      <c r="C33" s="27" t="s">
        <v>75</v>
      </c>
      <c r="D33" s="9"/>
      <c r="E33" s="11" t="s">
        <v>352</v>
      </c>
      <c r="F33" s="11" t="s">
        <v>353</v>
      </c>
    </row>
    <row r="34" spans="1:6" ht="39.75" customHeight="1" x14ac:dyDescent="0.25">
      <c r="A34" s="9">
        <v>29</v>
      </c>
      <c r="B34" s="27" t="s">
        <v>354</v>
      </c>
      <c r="C34" s="27" t="s">
        <v>75</v>
      </c>
      <c r="D34" s="9"/>
      <c r="E34" s="11" t="s">
        <v>355</v>
      </c>
      <c r="F34" s="11" t="s">
        <v>356</v>
      </c>
    </row>
    <row r="35" spans="1:6" ht="39.75" customHeight="1" x14ac:dyDescent="0.25">
      <c r="A35" s="15">
        <v>30</v>
      </c>
      <c r="B35" s="36" t="s">
        <v>357</v>
      </c>
      <c r="C35" s="36" t="s">
        <v>75</v>
      </c>
      <c r="D35" s="15" t="s">
        <v>358</v>
      </c>
      <c r="E35" s="17" t="s">
        <v>359</v>
      </c>
      <c r="F35" s="17" t="s">
        <v>360</v>
      </c>
    </row>
    <row r="36" spans="1:6" ht="39.75" customHeight="1" x14ac:dyDescent="0.25">
      <c r="A36" s="15">
        <v>31</v>
      </c>
      <c r="B36" s="36" t="s">
        <v>361</v>
      </c>
      <c r="C36" s="36" t="s">
        <v>75</v>
      </c>
      <c r="D36" s="15" t="s">
        <v>358</v>
      </c>
      <c r="E36" s="17" t="s">
        <v>362</v>
      </c>
      <c r="F36" s="17" t="s">
        <v>363</v>
      </c>
    </row>
    <row r="37" spans="1:6" ht="39.75" customHeight="1" x14ac:dyDescent="0.25">
      <c r="A37" s="15">
        <v>32</v>
      </c>
      <c r="B37" s="36" t="s">
        <v>364</v>
      </c>
      <c r="C37" s="36" t="s">
        <v>88</v>
      </c>
      <c r="D37" s="15" t="s">
        <v>358</v>
      </c>
      <c r="E37" s="17" t="s">
        <v>365</v>
      </c>
      <c r="F37" s="17" t="s">
        <v>366</v>
      </c>
    </row>
    <row r="38" spans="1:6" ht="39.75" customHeight="1" x14ac:dyDescent="0.25">
      <c r="A38" s="29">
        <v>33</v>
      </c>
      <c r="B38" s="30" t="s">
        <v>129</v>
      </c>
      <c r="C38" s="30" t="s">
        <v>99</v>
      </c>
      <c r="D38" s="29" t="s">
        <v>130</v>
      </c>
      <c r="E38" s="31" t="s">
        <v>131</v>
      </c>
      <c r="F38" s="31" t="s">
        <v>132</v>
      </c>
    </row>
    <row r="39" spans="1:6" ht="39.75" customHeight="1" x14ac:dyDescent="0.25">
      <c r="A39" s="29">
        <v>34</v>
      </c>
      <c r="B39" s="30" t="s">
        <v>133</v>
      </c>
      <c r="C39" s="30" t="s">
        <v>75</v>
      </c>
      <c r="D39" s="29" t="s">
        <v>130</v>
      </c>
      <c r="E39" s="31" t="s">
        <v>134</v>
      </c>
      <c r="F39" s="31" t="s">
        <v>135</v>
      </c>
    </row>
    <row r="40" spans="1:6" ht="39.75" customHeight="1" x14ac:dyDescent="0.25">
      <c r="A40" s="29">
        <v>35</v>
      </c>
      <c r="B40" s="30" t="s">
        <v>136</v>
      </c>
      <c r="C40" s="30" t="s">
        <v>75</v>
      </c>
      <c r="D40" s="29" t="s">
        <v>130</v>
      </c>
      <c r="E40" s="31" t="s">
        <v>137</v>
      </c>
      <c r="F40" s="31" t="s">
        <v>138</v>
      </c>
    </row>
    <row r="41" spans="1:6" ht="39.75" customHeight="1" x14ac:dyDescent="0.25">
      <c r="A41" s="29">
        <v>36</v>
      </c>
      <c r="B41" s="30" t="s">
        <v>139</v>
      </c>
      <c r="C41" s="30" t="s">
        <v>140</v>
      </c>
      <c r="D41" s="29" t="s">
        <v>130</v>
      </c>
      <c r="E41" s="31" t="s">
        <v>141</v>
      </c>
      <c r="F41" s="31" t="s">
        <v>142</v>
      </c>
    </row>
    <row r="42" spans="1:6" ht="39.75" customHeight="1" x14ac:dyDescent="0.25">
      <c r="A42" s="29">
        <v>37</v>
      </c>
      <c r="B42" s="30" t="s">
        <v>143</v>
      </c>
      <c r="C42" s="30" t="s">
        <v>75</v>
      </c>
      <c r="D42" s="29" t="s">
        <v>130</v>
      </c>
      <c r="E42" s="31" t="s">
        <v>144</v>
      </c>
      <c r="F42" s="31" t="s">
        <v>145</v>
      </c>
    </row>
    <row r="43" spans="1:6" ht="39.75" customHeight="1" x14ac:dyDescent="0.25">
      <c r="A43" s="29">
        <v>38</v>
      </c>
      <c r="B43" s="30" t="s">
        <v>146</v>
      </c>
      <c r="C43" s="30" t="s">
        <v>140</v>
      </c>
      <c r="D43" s="29" t="s">
        <v>130</v>
      </c>
      <c r="E43" s="31" t="s">
        <v>147</v>
      </c>
      <c r="F43" s="31" t="s">
        <v>148</v>
      </c>
    </row>
    <row r="44" spans="1:6" ht="39.75" customHeight="1" x14ac:dyDescent="0.25">
      <c r="A44" s="29">
        <v>39</v>
      </c>
      <c r="B44" s="30" t="s">
        <v>149</v>
      </c>
      <c r="C44" s="30" t="s">
        <v>75</v>
      </c>
      <c r="D44" s="29" t="s">
        <v>130</v>
      </c>
      <c r="E44" s="31" t="s">
        <v>150</v>
      </c>
      <c r="F44" s="31" t="s">
        <v>145</v>
      </c>
    </row>
    <row r="45" spans="1:6" ht="39.75" customHeight="1" x14ac:dyDescent="0.25">
      <c r="A45" s="29">
        <v>40</v>
      </c>
      <c r="B45" s="30" t="s">
        <v>151</v>
      </c>
      <c r="C45" s="30" t="s">
        <v>103</v>
      </c>
      <c r="D45" s="29" t="s">
        <v>130</v>
      </c>
      <c r="E45" s="31" t="s">
        <v>152</v>
      </c>
      <c r="F45" s="31" t="s">
        <v>153</v>
      </c>
    </row>
    <row r="46" spans="1:6" ht="39.75" customHeight="1" x14ac:dyDescent="0.25">
      <c r="A46" s="29">
        <v>41</v>
      </c>
      <c r="B46" s="30" t="s">
        <v>154</v>
      </c>
      <c r="C46" s="30" t="s">
        <v>140</v>
      </c>
      <c r="D46" s="29" t="s">
        <v>130</v>
      </c>
      <c r="E46" s="31" t="s">
        <v>155</v>
      </c>
      <c r="F46" s="31" t="s">
        <v>156</v>
      </c>
    </row>
  </sheetData>
  <mergeCells count="2">
    <mergeCell ref="A2:F2"/>
    <mergeCell ref="A3:F3"/>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9"/>
  <sheetViews>
    <sheetView showGridLines="0" zoomScaleNormal="100" workbookViewId="0">
      <pane ySplit="5" topLeftCell="A6" activePane="bottomLeft" state="frozen"/>
      <selection pane="bottomLeft"/>
    </sheetView>
  </sheetViews>
  <sheetFormatPr defaultColWidth="8.7109375" defaultRowHeight="15" x14ac:dyDescent="0.25"/>
  <cols>
    <col min="1" max="1" width="6" customWidth="1"/>
    <col min="2" max="2" width="24" customWidth="1"/>
    <col min="3" max="3" width="22" customWidth="1"/>
    <col min="4" max="4" width="14" customWidth="1"/>
    <col min="5" max="5" width="54" customWidth="1"/>
    <col min="6" max="6" width="72" customWidth="1"/>
  </cols>
  <sheetData>
    <row r="1" spans="1:6" ht="18" x14ac:dyDescent="0.25">
      <c r="A1" s="23" t="s">
        <v>28</v>
      </c>
    </row>
    <row r="2" spans="1:6" ht="30" customHeight="1" x14ac:dyDescent="0.25">
      <c r="A2" s="3" t="s">
        <v>367</v>
      </c>
      <c r="B2" s="3"/>
      <c r="C2" s="3"/>
      <c r="D2" s="3"/>
      <c r="E2" s="3"/>
      <c r="F2" s="3"/>
    </row>
    <row r="3" spans="1:6" ht="43.5" customHeight="1" x14ac:dyDescent="0.25">
      <c r="A3" s="2" t="s">
        <v>368</v>
      </c>
      <c r="B3" s="2"/>
      <c r="C3" s="2"/>
      <c r="D3" s="2"/>
      <c r="E3" s="2"/>
      <c r="F3" s="2"/>
    </row>
    <row r="5" spans="1:6" ht="30" customHeight="1" x14ac:dyDescent="0.25">
      <c r="A5" s="8" t="s">
        <v>8</v>
      </c>
      <c r="B5" s="8" t="s">
        <v>70</v>
      </c>
      <c r="C5" s="8" t="s">
        <v>71</v>
      </c>
      <c r="D5" s="8" t="s">
        <v>72</v>
      </c>
      <c r="E5" s="8" t="s">
        <v>12</v>
      </c>
      <c r="F5" s="8" t="s">
        <v>73</v>
      </c>
    </row>
    <row r="6" spans="1:6" ht="39.75" customHeight="1" x14ac:dyDescent="0.25">
      <c r="A6" s="24">
        <v>1</v>
      </c>
      <c r="B6" s="25" t="s">
        <v>74</v>
      </c>
      <c r="C6" s="25" t="s">
        <v>75</v>
      </c>
      <c r="D6" s="24" t="s">
        <v>76</v>
      </c>
      <c r="E6" s="26" t="s">
        <v>77</v>
      </c>
      <c r="F6" s="26" t="s">
        <v>159</v>
      </c>
    </row>
    <row r="7" spans="1:6" ht="39.75" customHeight="1" x14ac:dyDescent="0.25">
      <c r="A7" s="9">
        <v>2</v>
      </c>
      <c r="B7" s="27" t="s">
        <v>79</v>
      </c>
      <c r="C7" s="27" t="s">
        <v>80</v>
      </c>
      <c r="D7" s="9"/>
      <c r="E7" s="11" t="s">
        <v>369</v>
      </c>
      <c r="F7" s="11" t="s">
        <v>370</v>
      </c>
    </row>
    <row r="8" spans="1:6" ht="39.75" customHeight="1" x14ac:dyDescent="0.25">
      <c r="A8" s="12">
        <v>3</v>
      </c>
      <c r="B8" s="28" t="s">
        <v>371</v>
      </c>
      <c r="C8" s="28" t="s">
        <v>80</v>
      </c>
      <c r="D8" s="12" t="s">
        <v>120</v>
      </c>
      <c r="E8" s="14" t="s">
        <v>372</v>
      </c>
      <c r="F8" s="14" t="s">
        <v>373</v>
      </c>
    </row>
    <row r="9" spans="1:6" ht="39.75" customHeight="1" x14ac:dyDescent="0.25">
      <c r="A9" s="15">
        <v>4</v>
      </c>
      <c r="B9" s="36" t="s">
        <v>374</v>
      </c>
      <c r="C9" s="36" t="s">
        <v>375</v>
      </c>
      <c r="D9" s="15" t="s">
        <v>358</v>
      </c>
      <c r="E9" s="17" t="s">
        <v>376</v>
      </c>
      <c r="F9" s="17" t="s">
        <v>377</v>
      </c>
    </row>
    <row r="10" spans="1:6" ht="39.75" customHeight="1" x14ac:dyDescent="0.25">
      <c r="A10" s="9">
        <v>5</v>
      </c>
      <c r="B10" s="27" t="s">
        <v>289</v>
      </c>
      <c r="C10" s="27" t="s">
        <v>99</v>
      </c>
      <c r="D10" s="9"/>
      <c r="E10" s="11" t="s">
        <v>378</v>
      </c>
      <c r="F10" s="11" t="s">
        <v>379</v>
      </c>
    </row>
    <row r="11" spans="1:6" ht="39.75" customHeight="1" x14ac:dyDescent="0.25">
      <c r="A11" s="29">
        <v>6</v>
      </c>
      <c r="B11" s="30" t="s">
        <v>129</v>
      </c>
      <c r="C11" s="30" t="s">
        <v>99</v>
      </c>
      <c r="D11" s="29" t="s">
        <v>130</v>
      </c>
      <c r="E11" s="31" t="s">
        <v>131</v>
      </c>
      <c r="F11" s="31" t="s">
        <v>132</v>
      </c>
    </row>
    <row r="12" spans="1:6" ht="39.75" customHeight="1" x14ac:dyDescent="0.25">
      <c r="A12" s="29">
        <v>7</v>
      </c>
      <c r="B12" s="30" t="s">
        <v>133</v>
      </c>
      <c r="C12" s="30" t="s">
        <v>75</v>
      </c>
      <c r="D12" s="29" t="s">
        <v>130</v>
      </c>
      <c r="E12" s="31" t="s">
        <v>134</v>
      </c>
      <c r="F12" s="31" t="s">
        <v>135</v>
      </c>
    </row>
    <row r="13" spans="1:6" ht="39.75" customHeight="1" x14ac:dyDescent="0.25">
      <c r="A13" s="29">
        <v>8</v>
      </c>
      <c r="B13" s="30" t="s">
        <v>136</v>
      </c>
      <c r="C13" s="30" t="s">
        <v>75</v>
      </c>
      <c r="D13" s="29" t="s">
        <v>130</v>
      </c>
      <c r="E13" s="31" t="s">
        <v>137</v>
      </c>
      <c r="F13" s="31" t="s">
        <v>138</v>
      </c>
    </row>
    <row r="14" spans="1:6" ht="39.75" customHeight="1" x14ac:dyDescent="0.25">
      <c r="A14" s="29">
        <v>9</v>
      </c>
      <c r="B14" s="30" t="s">
        <v>139</v>
      </c>
      <c r="C14" s="30" t="s">
        <v>140</v>
      </c>
      <c r="D14" s="29" t="s">
        <v>130</v>
      </c>
      <c r="E14" s="31" t="s">
        <v>141</v>
      </c>
      <c r="F14" s="31" t="s">
        <v>142</v>
      </c>
    </row>
    <row r="15" spans="1:6" ht="39.75" customHeight="1" x14ac:dyDescent="0.25">
      <c r="A15" s="29">
        <v>10</v>
      </c>
      <c r="B15" s="30" t="s">
        <v>143</v>
      </c>
      <c r="C15" s="30" t="s">
        <v>75</v>
      </c>
      <c r="D15" s="29" t="s">
        <v>130</v>
      </c>
      <c r="E15" s="31" t="s">
        <v>144</v>
      </c>
      <c r="F15" s="31" t="s">
        <v>145</v>
      </c>
    </row>
    <row r="16" spans="1:6" ht="39.75" customHeight="1" x14ac:dyDescent="0.25">
      <c r="A16" s="29">
        <v>11</v>
      </c>
      <c r="B16" s="30" t="s">
        <v>146</v>
      </c>
      <c r="C16" s="30" t="s">
        <v>140</v>
      </c>
      <c r="D16" s="29" t="s">
        <v>130</v>
      </c>
      <c r="E16" s="31" t="s">
        <v>147</v>
      </c>
      <c r="F16" s="31" t="s">
        <v>148</v>
      </c>
    </row>
    <row r="17" spans="1:6" ht="39.75" customHeight="1" x14ac:dyDescent="0.25">
      <c r="A17" s="29">
        <v>12</v>
      </c>
      <c r="B17" s="30" t="s">
        <v>149</v>
      </c>
      <c r="C17" s="30" t="s">
        <v>75</v>
      </c>
      <c r="D17" s="29" t="s">
        <v>130</v>
      </c>
      <c r="E17" s="31" t="s">
        <v>150</v>
      </c>
      <c r="F17" s="31" t="s">
        <v>145</v>
      </c>
    </row>
    <row r="18" spans="1:6" ht="39.75" customHeight="1" x14ac:dyDescent="0.25">
      <c r="A18" s="29">
        <v>13</v>
      </c>
      <c r="B18" s="30" t="s">
        <v>151</v>
      </c>
      <c r="C18" s="30" t="s">
        <v>103</v>
      </c>
      <c r="D18" s="29" t="s">
        <v>130</v>
      </c>
      <c r="E18" s="31" t="s">
        <v>152</v>
      </c>
      <c r="F18" s="31" t="s">
        <v>153</v>
      </c>
    </row>
    <row r="19" spans="1:6" ht="39.75" customHeight="1" x14ac:dyDescent="0.25">
      <c r="A19" s="29">
        <v>14</v>
      </c>
      <c r="B19" s="30" t="s">
        <v>154</v>
      </c>
      <c r="C19" s="30" t="s">
        <v>140</v>
      </c>
      <c r="D19" s="29" t="s">
        <v>130</v>
      </c>
      <c r="E19" s="31" t="s">
        <v>155</v>
      </c>
      <c r="F19" s="31" t="s">
        <v>156</v>
      </c>
    </row>
  </sheetData>
  <mergeCells count="2">
    <mergeCell ref="A2:F2"/>
    <mergeCell ref="A3:F3"/>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3"/>
  <sheetViews>
    <sheetView showGridLines="0" zoomScaleNormal="100" workbookViewId="0">
      <pane ySplit="5" topLeftCell="A6" activePane="bottomLeft" state="frozen"/>
      <selection pane="bottomLeft"/>
    </sheetView>
  </sheetViews>
  <sheetFormatPr defaultColWidth="8.7109375" defaultRowHeight="15" x14ac:dyDescent="0.25"/>
  <cols>
    <col min="1" max="1" width="6" customWidth="1"/>
    <col min="2" max="2" width="24" customWidth="1"/>
    <col min="3" max="3" width="22" customWidth="1"/>
    <col min="4" max="4" width="14" customWidth="1"/>
    <col min="5" max="5" width="54" customWidth="1"/>
    <col min="6" max="6" width="72" customWidth="1"/>
  </cols>
  <sheetData>
    <row r="1" spans="1:6" ht="18" x14ac:dyDescent="0.25">
      <c r="A1" s="23" t="s">
        <v>32</v>
      </c>
    </row>
    <row r="2" spans="1:6" ht="30" customHeight="1" x14ac:dyDescent="0.25">
      <c r="A2" s="3" t="s">
        <v>380</v>
      </c>
      <c r="B2" s="3"/>
      <c r="C2" s="3"/>
      <c r="D2" s="3"/>
      <c r="E2" s="3"/>
      <c r="F2" s="3"/>
    </row>
    <row r="3" spans="1:6" ht="43.5" customHeight="1" x14ac:dyDescent="0.25">
      <c r="A3" s="2" t="s">
        <v>381</v>
      </c>
      <c r="B3" s="2"/>
      <c r="C3" s="2"/>
      <c r="D3" s="2"/>
      <c r="E3" s="2"/>
      <c r="F3" s="2"/>
    </row>
    <row r="5" spans="1:6" ht="30" customHeight="1" x14ac:dyDescent="0.25">
      <c r="A5" s="8" t="s">
        <v>8</v>
      </c>
      <c r="B5" s="8" t="s">
        <v>70</v>
      </c>
      <c r="C5" s="8" t="s">
        <v>71</v>
      </c>
      <c r="D5" s="8" t="s">
        <v>72</v>
      </c>
      <c r="E5" s="8" t="s">
        <v>12</v>
      </c>
      <c r="F5" s="8" t="s">
        <v>73</v>
      </c>
    </row>
    <row r="6" spans="1:6" ht="39.75" customHeight="1" x14ac:dyDescent="0.25">
      <c r="A6" s="24">
        <v>1</v>
      </c>
      <c r="B6" s="25" t="s">
        <v>74</v>
      </c>
      <c r="C6" s="25" t="s">
        <v>75</v>
      </c>
      <c r="D6" s="24" t="s">
        <v>76</v>
      </c>
      <c r="E6" s="26" t="s">
        <v>77</v>
      </c>
      <c r="F6" s="26" t="s">
        <v>159</v>
      </c>
    </row>
    <row r="7" spans="1:6" ht="39.75" customHeight="1" x14ac:dyDescent="0.25">
      <c r="A7" s="9">
        <v>2</v>
      </c>
      <c r="B7" s="27" t="s">
        <v>79</v>
      </c>
      <c r="C7" s="27" t="s">
        <v>80</v>
      </c>
      <c r="D7" s="9"/>
      <c r="E7" s="11" t="s">
        <v>382</v>
      </c>
      <c r="F7" s="11" t="s">
        <v>383</v>
      </c>
    </row>
    <row r="8" spans="1:6" ht="39.75" customHeight="1" x14ac:dyDescent="0.25">
      <c r="A8" s="12">
        <v>3</v>
      </c>
      <c r="B8" s="28" t="s">
        <v>384</v>
      </c>
      <c r="C8" s="28" t="s">
        <v>88</v>
      </c>
      <c r="D8" s="12" t="s">
        <v>120</v>
      </c>
      <c r="E8" s="14" t="s">
        <v>385</v>
      </c>
      <c r="F8" s="14" t="s">
        <v>386</v>
      </c>
    </row>
    <row r="9" spans="1:6" ht="39.75" customHeight="1" x14ac:dyDescent="0.25">
      <c r="A9" s="9">
        <v>4</v>
      </c>
      <c r="B9" s="27" t="s">
        <v>289</v>
      </c>
      <c r="C9" s="27" t="s">
        <v>99</v>
      </c>
      <c r="D9" s="9"/>
      <c r="E9" s="11" t="s">
        <v>387</v>
      </c>
      <c r="F9" s="11" t="s">
        <v>388</v>
      </c>
    </row>
    <row r="10" spans="1:6" ht="39.75" customHeight="1" x14ac:dyDescent="0.25">
      <c r="A10" s="9">
        <v>5</v>
      </c>
      <c r="B10" s="27" t="s">
        <v>389</v>
      </c>
      <c r="C10" s="27" t="s">
        <v>88</v>
      </c>
      <c r="D10" s="9"/>
      <c r="E10" s="11" t="s">
        <v>390</v>
      </c>
      <c r="F10" s="11" t="s">
        <v>391</v>
      </c>
    </row>
    <row r="11" spans="1:6" ht="39.75" customHeight="1" x14ac:dyDescent="0.25">
      <c r="A11" s="9">
        <v>6</v>
      </c>
      <c r="B11" s="27" t="s">
        <v>392</v>
      </c>
      <c r="C11" s="27" t="s">
        <v>88</v>
      </c>
      <c r="D11" s="9"/>
      <c r="E11" s="11" t="s">
        <v>393</v>
      </c>
      <c r="F11" s="11" t="s">
        <v>394</v>
      </c>
    </row>
    <row r="12" spans="1:6" ht="39.75" customHeight="1" x14ac:dyDescent="0.25">
      <c r="A12" s="12">
        <v>7</v>
      </c>
      <c r="B12" s="28" t="s">
        <v>119</v>
      </c>
      <c r="C12" s="28" t="s">
        <v>88</v>
      </c>
      <c r="D12" s="12" t="s">
        <v>120</v>
      </c>
      <c r="E12" s="14" t="s">
        <v>395</v>
      </c>
      <c r="F12" s="14" t="s">
        <v>396</v>
      </c>
    </row>
    <row r="13" spans="1:6" ht="39.75" customHeight="1" x14ac:dyDescent="0.25">
      <c r="A13" s="9">
        <v>8</v>
      </c>
      <c r="B13" s="27" t="s">
        <v>126</v>
      </c>
      <c r="C13" s="27" t="s">
        <v>88</v>
      </c>
      <c r="D13" s="9"/>
      <c r="E13" s="11" t="s">
        <v>127</v>
      </c>
      <c r="F13" s="11" t="s">
        <v>397</v>
      </c>
    </row>
    <row r="14" spans="1:6" ht="39.75" customHeight="1" x14ac:dyDescent="0.25">
      <c r="A14" s="12">
        <v>9</v>
      </c>
      <c r="B14" s="28" t="s">
        <v>136</v>
      </c>
      <c r="C14" s="28" t="s">
        <v>103</v>
      </c>
      <c r="D14" s="12" t="s">
        <v>120</v>
      </c>
      <c r="E14" s="14" t="s">
        <v>398</v>
      </c>
      <c r="F14" s="14" t="s">
        <v>399</v>
      </c>
    </row>
    <row r="15" spans="1:6" ht="39.75" customHeight="1" x14ac:dyDescent="0.25">
      <c r="A15" s="29">
        <v>10</v>
      </c>
      <c r="B15" s="30" t="s">
        <v>129</v>
      </c>
      <c r="C15" s="30" t="s">
        <v>99</v>
      </c>
      <c r="D15" s="29" t="s">
        <v>130</v>
      </c>
      <c r="E15" s="31" t="s">
        <v>131</v>
      </c>
      <c r="F15" s="31" t="s">
        <v>132</v>
      </c>
    </row>
    <row r="16" spans="1:6" ht="39.75" customHeight="1" x14ac:dyDescent="0.25">
      <c r="A16" s="29">
        <v>11</v>
      </c>
      <c r="B16" s="30" t="s">
        <v>133</v>
      </c>
      <c r="C16" s="30" t="s">
        <v>75</v>
      </c>
      <c r="D16" s="29" t="s">
        <v>130</v>
      </c>
      <c r="E16" s="31" t="s">
        <v>134</v>
      </c>
      <c r="F16" s="31" t="s">
        <v>135</v>
      </c>
    </row>
    <row r="17" spans="1:6" ht="39.75" customHeight="1" x14ac:dyDescent="0.25">
      <c r="A17" s="29">
        <v>12</v>
      </c>
      <c r="B17" s="30" t="s">
        <v>136</v>
      </c>
      <c r="C17" s="30" t="s">
        <v>75</v>
      </c>
      <c r="D17" s="29" t="s">
        <v>130</v>
      </c>
      <c r="E17" s="31" t="s">
        <v>137</v>
      </c>
      <c r="F17" s="31" t="s">
        <v>138</v>
      </c>
    </row>
    <row r="18" spans="1:6" ht="39.75" customHeight="1" x14ac:dyDescent="0.25">
      <c r="A18" s="29">
        <v>13</v>
      </c>
      <c r="B18" s="30" t="s">
        <v>139</v>
      </c>
      <c r="C18" s="30" t="s">
        <v>140</v>
      </c>
      <c r="D18" s="29" t="s">
        <v>130</v>
      </c>
      <c r="E18" s="31" t="s">
        <v>141</v>
      </c>
      <c r="F18" s="31" t="s">
        <v>142</v>
      </c>
    </row>
    <row r="19" spans="1:6" ht="39.75" customHeight="1" x14ac:dyDescent="0.25">
      <c r="A19" s="29">
        <v>14</v>
      </c>
      <c r="B19" s="30" t="s">
        <v>143</v>
      </c>
      <c r="C19" s="30" t="s">
        <v>75</v>
      </c>
      <c r="D19" s="29" t="s">
        <v>130</v>
      </c>
      <c r="E19" s="31" t="s">
        <v>144</v>
      </c>
      <c r="F19" s="31" t="s">
        <v>145</v>
      </c>
    </row>
    <row r="20" spans="1:6" ht="39.75" customHeight="1" x14ac:dyDescent="0.25">
      <c r="A20" s="29">
        <v>15</v>
      </c>
      <c r="B20" s="30" t="s">
        <v>146</v>
      </c>
      <c r="C20" s="30" t="s">
        <v>140</v>
      </c>
      <c r="D20" s="29" t="s">
        <v>130</v>
      </c>
      <c r="E20" s="31" t="s">
        <v>147</v>
      </c>
      <c r="F20" s="31" t="s">
        <v>148</v>
      </c>
    </row>
    <row r="21" spans="1:6" ht="39.75" customHeight="1" x14ac:dyDescent="0.25">
      <c r="A21" s="29">
        <v>16</v>
      </c>
      <c r="B21" s="30" t="s">
        <v>149</v>
      </c>
      <c r="C21" s="30" t="s">
        <v>75</v>
      </c>
      <c r="D21" s="29" t="s">
        <v>130</v>
      </c>
      <c r="E21" s="31" t="s">
        <v>150</v>
      </c>
      <c r="F21" s="31" t="s">
        <v>145</v>
      </c>
    </row>
    <row r="22" spans="1:6" ht="39.75" customHeight="1" x14ac:dyDescent="0.25">
      <c r="A22" s="29">
        <v>17</v>
      </c>
      <c r="B22" s="30" t="s">
        <v>151</v>
      </c>
      <c r="C22" s="30" t="s">
        <v>103</v>
      </c>
      <c r="D22" s="29" t="s">
        <v>130</v>
      </c>
      <c r="E22" s="31" t="s">
        <v>152</v>
      </c>
      <c r="F22" s="31" t="s">
        <v>153</v>
      </c>
    </row>
    <row r="23" spans="1:6" ht="39.75" customHeight="1" x14ac:dyDescent="0.25">
      <c r="A23" s="29">
        <v>18</v>
      </c>
      <c r="B23" s="30" t="s">
        <v>154</v>
      </c>
      <c r="C23" s="30" t="s">
        <v>140</v>
      </c>
      <c r="D23" s="29" t="s">
        <v>130</v>
      </c>
      <c r="E23" s="31" t="s">
        <v>155</v>
      </c>
      <c r="F23" s="31" t="s">
        <v>156</v>
      </c>
    </row>
  </sheetData>
  <mergeCells count="2">
    <mergeCell ref="A2:F2"/>
    <mergeCell ref="A3:F3"/>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33"/>
  <sheetViews>
    <sheetView showGridLines="0" zoomScaleNormal="100" workbookViewId="0">
      <pane ySplit="5" topLeftCell="A6" activePane="bottomLeft" state="frozen"/>
      <selection pane="bottomLeft"/>
    </sheetView>
  </sheetViews>
  <sheetFormatPr defaultColWidth="8.7109375" defaultRowHeight="15" x14ac:dyDescent="0.25"/>
  <cols>
    <col min="1" max="1" width="6" customWidth="1"/>
    <col min="2" max="2" width="24" customWidth="1"/>
    <col min="3" max="3" width="22" customWidth="1"/>
    <col min="4" max="4" width="14" customWidth="1"/>
    <col min="5" max="5" width="54" customWidth="1"/>
    <col min="6" max="6" width="72" customWidth="1"/>
  </cols>
  <sheetData>
    <row r="1" spans="1:6" ht="18" x14ac:dyDescent="0.25">
      <c r="A1" s="23" t="s">
        <v>36</v>
      </c>
    </row>
    <row r="2" spans="1:6" ht="30" customHeight="1" x14ac:dyDescent="0.25">
      <c r="A2" s="3" t="s">
        <v>400</v>
      </c>
      <c r="B2" s="3"/>
      <c r="C2" s="3"/>
      <c r="D2" s="3"/>
      <c r="E2" s="3"/>
      <c r="F2" s="3"/>
    </row>
    <row r="3" spans="1:6" ht="43.5" customHeight="1" x14ac:dyDescent="0.25">
      <c r="A3" s="2" t="s">
        <v>401</v>
      </c>
      <c r="B3" s="2"/>
      <c r="C3" s="2"/>
      <c r="D3" s="2"/>
      <c r="E3" s="2"/>
      <c r="F3" s="2"/>
    </row>
    <row r="5" spans="1:6" ht="30" customHeight="1" x14ac:dyDescent="0.25">
      <c r="A5" s="8" t="s">
        <v>8</v>
      </c>
      <c r="B5" s="8" t="s">
        <v>70</v>
      </c>
      <c r="C5" s="8" t="s">
        <v>71</v>
      </c>
      <c r="D5" s="8" t="s">
        <v>72</v>
      </c>
      <c r="E5" s="8" t="s">
        <v>12</v>
      </c>
      <c r="F5" s="8" t="s">
        <v>73</v>
      </c>
    </row>
    <row r="6" spans="1:6" ht="39.75" customHeight="1" x14ac:dyDescent="0.25">
      <c r="A6" s="24">
        <v>1</v>
      </c>
      <c r="B6" s="25" t="s">
        <v>74</v>
      </c>
      <c r="C6" s="25" t="s">
        <v>75</v>
      </c>
      <c r="D6" s="24" t="s">
        <v>76</v>
      </c>
      <c r="E6" s="26" t="s">
        <v>77</v>
      </c>
      <c r="F6" s="26" t="s">
        <v>159</v>
      </c>
    </row>
    <row r="7" spans="1:6" ht="39.75" customHeight="1" x14ac:dyDescent="0.25">
      <c r="A7" s="9">
        <v>2</v>
      </c>
      <c r="B7" s="27" t="s">
        <v>361</v>
      </c>
      <c r="C7" s="27" t="s">
        <v>75</v>
      </c>
      <c r="D7" s="9" t="s">
        <v>241</v>
      </c>
      <c r="E7" s="11" t="s">
        <v>402</v>
      </c>
      <c r="F7" s="11" t="s">
        <v>403</v>
      </c>
    </row>
    <row r="8" spans="1:6" ht="39.75" customHeight="1" x14ac:dyDescent="0.25">
      <c r="A8" s="9">
        <v>3</v>
      </c>
      <c r="B8" s="27" t="s">
        <v>79</v>
      </c>
      <c r="C8" s="27" t="s">
        <v>80</v>
      </c>
      <c r="D8" s="9"/>
      <c r="E8" s="11" t="s">
        <v>404</v>
      </c>
      <c r="F8" s="11" t="s">
        <v>405</v>
      </c>
    </row>
    <row r="9" spans="1:6" ht="39.75" customHeight="1" x14ac:dyDescent="0.25">
      <c r="A9" s="9">
        <v>4</v>
      </c>
      <c r="B9" s="27" t="s">
        <v>406</v>
      </c>
      <c r="C9" s="27" t="s">
        <v>75</v>
      </c>
      <c r="D9" s="9"/>
      <c r="E9" s="11" t="s">
        <v>407</v>
      </c>
      <c r="F9" s="11" t="s">
        <v>408</v>
      </c>
    </row>
    <row r="10" spans="1:6" ht="39.75" customHeight="1" x14ac:dyDescent="0.25">
      <c r="A10" s="9">
        <v>5</v>
      </c>
      <c r="B10" s="27" t="s">
        <v>409</v>
      </c>
      <c r="C10" s="27" t="s">
        <v>75</v>
      </c>
      <c r="D10" s="9"/>
      <c r="E10" s="11" t="s">
        <v>410</v>
      </c>
      <c r="F10" s="11" t="s">
        <v>411</v>
      </c>
    </row>
    <row r="11" spans="1:6" ht="39.75" customHeight="1" x14ac:dyDescent="0.25">
      <c r="A11" s="12">
        <v>6</v>
      </c>
      <c r="B11" s="28" t="s">
        <v>412</v>
      </c>
      <c r="C11" s="28" t="s">
        <v>80</v>
      </c>
      <c r="D11" s="12" t="s">
        <v>120</v>
      </c>
      <c r="E11" s="14" t="s">
        <v>413</v>
      </c>
      <c r="F11" s="14" t="s">
        <v>414</v>
      </c>
    </row>
    <row r="12" spans="1:6" ht="39.75" customHeight="1" x14ac:dyDescent="0.25">
      <c r="A12" s="9">
        <v>7</v>
      </c>
      <c r="B12" s="27" t="s">
        <v>415</v>
      </c>
      <c r="C12" s="27" t="s">
        <v>88</v>
      </c>
      <c r="D12" s="9"/>
      <c r="E12" s="11" t="s">
        <v>416</v>
      </c>
      <c r="F12" s="11" t="s">
        <v>417</v>
      </c>
    </row>
    <row r="13" spans="1:6" ht="39.75" customHeight="1" x14ac:dyDescent="0.25">
      <c r="A13" s="12">
        <v>8</v>
      </c>
      <c r="B13" s="28" t="s">
        <v>418</v>
      </c>
      <c r="C13" s="28" t="s">
        <v>92</v>
      </c>
      <c r="D13" s="12" t="s">
        <v>120</v>
      </c>
      <c r="E13" s="14" t="s">
        <v>419</v>
      </c>
      <c r="F13" s="14" t="s">
        <v>420</v>
      </c>
    </row>
    <row r="14" spans="1:6" ht="39.75" customHeight="1" x14ac:dyDescent="0.25">
      <c r="A14" s="12">
        <v>9</v>
      </c>
      <c r="B14" s="28" t="s">
        <v>421</v>
      </c>
      <c r="C14" s="28" t="s">
        <v>116</v>
      </c>
      <c r="D14" s="12" t="s">
        <v>120</v>
      </c>
      <c r="E14" s="14" t="s">
        <v>422</v>
      </c>
      <c r="F14" s="14" t="s">
        <v>423</v>
      </c>
    </row>
    <row r="15" spans="1:6" ht="39.75" customHeight="1" x14ac:dyDescent="0.25">
      <c r="A15" s="9">
        <v>10</v>
      </c>
      <c r="B15" s="27" t="s">
        <v>424</v>
      </c>
      <c r="C15" s="27" t="s">
        <v>92</v>
      </c>
      <c r="D15" s="9"/>
      <c r="E15" s="11" t="s">
        <v>425</v>
      </c>
      <c r="F15" s="11" t="s">
        <v>426</v>
      </c>
    </row>
    <row r="16" spans="1:6" ht="39.75" customHeight="1" x14ac:dyDescent="0.25">
      <c r="A16" s="9">
        <v>11</v>
      </c>
      <c r="B16" s="27" t="s">
        <v>427</v>
      </c>
      <c r="C16" s="27" t="s">
        <v>290</v>
      </c>
      <c r="D16" s="9"/>
      <c r="E16" s="11" t="s">
        <v>428</v>
      </c>
      <c r="F16" s="11" t="s">
        <v>429</v>
      </c>
    </row>
    <row r="17" spans="1:6" ht="39.75" customHeight="1" x14ac:dyDescent="0.25">
      <c r="A17" s="9">
        <v>12</v>
      </c>
      <c r="B17" s="27" t="s">
        <v>430</v>
      </c>
      <c r="C17" s="27" t="s">
        <v>290</v>
      </c>
      <c r="D17" s="9"/>
      <c r="E17" s="11" t="s">
        <v>431</v>
      </c>
      <c r="F17" s="11" t="s">
        <v>432</v>
      </c>
    </row>
    <row r="18" spans="1:6" ht="39.75" customHeight="1" x14ac:dyDescent="0.25">
      <c r="A18" s="9">
        <v>13</v>
      </c>
      <c r="B18" s="27" t="s">
        <v>433</v>
      </c>
      <c r="C18" s="27" t="s">
        <v>88</v>
      </c>
      <c r="D18" s="9"/>
      <c r="E18" s="11" t="s">
        <v>434</v>
      </c>
      <c r="F18" s="11" t="s">
        <v>435</v>
      </c>
    </row>
    <row r="19" spans="1:6" ht="39.75" customHeight="1" x14ac:dyDescent="0.25">
      <c r="A19" s="9">
        <v>14</v>
      </c>
      <c r="B19" s="27" t="s">
        <v>436</v>
      </c>
      <c r="C19" s="27" t="s">
        <v>75</v>
      </c>
      <c r="D19" s="9"/>
      <c r="E19" s="11" t="s">
        <v>437</v>
      </c>
      <c r="F19" s="11" t="s">
        <v>438</v>
      </c>
    </row>
    <row r="20" spans="1:6" ht="39.75" customHeight="1" x14ac:dyDescent="0.25">
      <c r="A20" s="9">
        <v>15</v>
      </c>
      <c r="B20" s="27" t="s">
        <v>439</v>
      </c>
      <c r="C20" s="27" t="s">
        <v>185</v>
      </c>
      <c r="D20" s="9"/>
      <c r="E20" s="11" t="s">
        <v>440</v>
      </c>
      <c r="F20" s="11" t="s">
        <v>441</v>
      </c>
    </row>
    <row r="21" spans="1:6" ht="39.75" customHeight="1" x14ac:dyDescent="0.25">
      <c r="A21" s="9">
        <v>16</v>
      </c>
      <c r="B21" s="27" t="s">
        <v>126</v>
      </c>
      <c r="C21" s="27" t="s">
        <v>88</v>
      </c>
      <c r="D21" s="9"/>
      <c r="E21" s="11" t="s">
        <v>442</v>
      </c>
      <c r="F21" s="11" t="s">
        <v>443</v>
      </c>
    </row>
    <row r="22" spans="1:6" ht="39.75" customHeight="1" x14ac:dyDescent="0.25">
      <c r="A22" s="32">
        <v>17</v>
      </c>
      <c r="B22" s="33" t="s">
        <v>444</v>
      </c>
      <c r="C22" s="33" t="s">
        <v>180</v>
      </c>
      <c r="D22" s="32" t="s">
        <v>181</v>
      </c>
      <c r="E22" s="34" t="s">
        <v>445</v>
      </c>
      <c r="F22" s="34" t="s">
        <v>446</v>
      </c>
    </row>
    <row r="23" spans="1:6" ht="39.75" customHeight="1" x14ac:dyDescent="0.25">
      <c r="A23" s="9">
        <v>18</v>
      </c>
      <c r="B23" s="27" t="s">
        <v>447</v>
      </c>
      <c r="C23" s="27" t="s">
        <v>116</v>
      </c>
      <c r="D23" s="9"/>
      <c r="E23" s="11" t="s">
        <v>448</v>
      </c>
      <c r="F23" s="11" t="s">
        <v>449</v>
      </c>
    </row>
    <row r="24" spans="1:6" ht="39.75" customHeight="1" x14ac:dyDescent="0.25">
      <c r="A24" s="9">
        <v>19</v>
      </c>
      <c r="B24" s="27" t="s">
        <v>450</v>
      </c>
      <c r="C24" s="27" t="s">
        <v>140</v>
      </c>
      <c r="D24" s="9"/>
      <c r="E24" s="11" t="s">
        <v>451</v>
      </c>
      <c r="F24" s="11" t="s">
        <v>452</v>
      </c>
    </row>
    <row r="25" spans="1:6" ht="39.75" customHeight="1" x14ac:dyDescent="0.25">
      <c r="A25" s="29">
        <v>20</v>
      </c>
      <c r="B25" s="30" t="s">
        <v>129</v>
      </c>
      <c r="C25" s="30" t="s">
        <v>99</v>
      </c>
      <c r="D25" s="29" t="s">
        <v>130</v>
      </c>
      <c r="E25" s="31" t="s">
        <v>131</v>
      </c>
      <c r="F25" s="31" t="s">
        <v>132</v>
      </c>
    </row>
    <row r="26" spans="1:6" ht="39.75" customHeight="1" x14ac:dyDescent="0.25">
      <c r="A26" s="29">
        <v>21</v>
      </c>
      <c r="B26" s="30" t="s">
        <v>133</v>
      </c>
      <c r="C26" s="30" t="s">
        <v>75</v>
      </c>
      <c r="D26" s="29" t="s">
        <v>130</v>
      </c>
      <c r="E26" s="31" t="s">
        <v>134</v>
      </c>
      <c r="F26" s="31" t="s">
        <v>135</v>
      </c>
    </row>
    <row r="27" spans="1:6" ht="39.75" customHeight="1" x14ac:dyDescent="0.25">
      <c r="A27" s="29">
        <v>22</v>
      </c>
      <c r="B27" s="30" t="s">
        <v>136</v>
      </c>
      <c r="C27" s="30" t="s">
        <v>75</v>
      </c>
      <c r="D27" s="29" t="s">
        <v>130</v>
      </c>
      <c r="E27" s="31" t="s">
        <v>137</v>
      </c>
      <c r="F27" s="31" t="s">
        <v>138</v>
      </c>
    </row>
    <row r="28" spans="1:6" ht="39.75" customHeight="1" x14ac:dyDescent="0.25">
      <c r="A28" s="29">
        <v>23</v>
      </c>
      <c r="B28" s="30" t="s">
        <v>139</v>
      </c>
      <c r="C28" s="30" t="s">
        <v>140</v>
      </c>
      <c r="D28" s="29" t="s">
        <v>130</v>
      </c>
      <c r="E28" s="31" t="s">
        <v>141</v>
      </c>
      <c r="F28" s="31" t="s">
        <v>142</v>
      </c>
    </row>
    <row r="29" spans="1:6" ht="39.75" customHeight="1" x14ac:dyDescent="0.25">
      <c r="A29" s="29">
        <v>24</v>
      </c>
      <c r="B29" s="30" t="s">
        <v>143</v>
      </c>
      <c r="C29" s="30" t="s">
        <v>75</v>
      </c>
      <c r="D29" s="29" t="s">
        <v>130</v>
      </c>
      <c r="E29" s="31" t="s">
        <v>144</v>
      </c>
      <c r="F29" s="31" t="s">
        <v>145</v>
      </c>
    </row>
    <row r="30" spans="1:6" ht="39.75" customHeight="1" x14ac:dyDescent="0.25">
      <c r="A30" s="29">
        <v>25</v>
      </c>
      <c r="B30" s="30" t="s">
        <v>146</v>
      </c>
      <c r="C30" s="30" t="s">
        <v>140</v>
      </c>
      <c r="D30" s="29" t="s">
        <v>130</v>
      </c>
      <c r="E30" s="31" t="s">
        <v>147</v>
      </c>
      <c r="F30" s="31" t="s">
        <v>148</v>
      </c>
    </row>
    <row r="31" spans="1:6" ht="39.75" customHeight="1" x14ac:dyDescent="0.25">
      <c r="A31" s="29">
        <v>26</v>
      </c>
      <c r="B31" s="30" t="s">
        <v>149</v>
      </c>
      <c r="C31" s="30" t="s">
        <v>75</v>
      </c>
      <c r="D31" s="29" t="s">
        <v>130</v>
      </c>
      <c r="E31" s="31" t="s">
        <v>150</v>
      </c>
      <c r="F31" s="31" t="s">
        <v>145</v>
      </c>
    </row>
    <row r="32" spans="1:6" ht="39.75" customHeight="1" x14ac:dyDescent="0.25">
      <c r="A32" s="29">
        <v>27</v>
      </c>
      <c r="B32" s="30" t="s">
        <v>151</v>
      </c>
      <c r="C32" s="30" t="s">
        <v>103</v>
      </c>
      <c r="D32" s="29" t="s">
        <v>130</v>
      </c>
      <c r="E32" s="31" t="s">
        <v>152</v>
      </c>
      <c r="F32" s="31" t="s">
        <v>153</v>
      </c>
    </row>
    <row r="33" spans="1:6" ht="39.75" customHeight="1" x14ac:dyDescent="0.25">
      <c r="A33" s="29">
        <v>28</v>
      </c>
      <c r="B33" s="30" t="s">
        <v>154</v>
      </c>
      <c r="C33" s="30" t="s">
        <v>140</v>
      </c>
      <c r="D33" s="29" t="s">
        <v>130</v>
      </c>
      <c r="E33" s="31" t="s">
        <v>155</v>
      </c>
      <c r="F33" s="31" t="s">
        <v>156</v>
      </c>
    </row>
  </sheetData>
  <mergeCells count="2">
    <mergeCell ref="A2:F2"/>
    <mergeCell ref="A3:F3"/>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0"/>
  <sheetViews>
    <sheetView showGridLines="0" zoomScaleNormal="100" workbookViewId="0">
      <pane ySplit="5" topLeftCell="A7" activePane="bottomLeft" state="frozen"/>
      <selection pane="bottomLeft"/>
    </sheetView>
  </sheetViews>
  <sheetFormatPr defaultColWidth="8.7109375" defaultRowHeight="15" x14ac:dyDescent="0.25"/>
  <cols>
    <col min="1" max="1" width="6" customWidth="1"/>
    <col min="2" max="2" width="24" customWidth="1"/>
    <col min="3" max="3" width="22" customWidth="1"/>
    <col min="4" max="4" width="14" customWidth="1"/>
    <col min="5" max="5" width="54" customWidth="1"/>
    <col min="6" max="6" width="72" customWidth="1"/>
  </cols>
  <sheetData>
    <row r="1" spans="1:6" ht="18" x14ac:dyDescent="0.25">
      <c r="A1" s="23" t="s">
        <v>39</v>
      </c>
    </row>
    <row r="2" spans="1:6" ht="30" customHeight="1" x14ac:dyDescent="0.25">
      <c r="A2" s="3" t="s">
        <v>453</v>
      </c>
      <c r="B2" s="3"/>
      <c r="C2" s="3"/>
      <c r="D2" s="3"/>
      <c r="E2" s="3"/>
      <c r="F2" s="3"/>
    </row>
    <row r="3" spans="1:6" ht="43.5" customHeight="1" x14ac:dyDescent="0.25">
      <c r="A3" s="2" t="s">
        <v>454</v>
      </c>
      <c r="B3" s="2"/>
      <c r="C3" s="2"/>
      <c r="D3" s="2"/>
      <c r="E3" s="2"/>
      <c r="F3" s="2"/>
    </row>
    <row r="5" spans="1:6" ht="30" customHeight="1" x14ac:dyDescent="0.25">
      <c r="A5" s="8" t="s">
        <v>8</v>
      </c>
      <c r="B5" s="8" t="s">
        <v>70</v>
      </c>
      <c r="C5" s="8" t="s">
        <v>71</v>
      </c>
      <c r="D5" s="8" t="s">
        <v>72</v>
      </c>
      <c r="E5" s="8" t="s">
        <v>12</v>
      </c>
      <c r="F5" s="8" t="s">
        <v>73</v>
      </c>
    </row>
    <row r="6" spans="1:6" ht="39.75" customHeight="1" x14ac:dyDescent="0.25">
      <c r="A6" s="24">
        <v>1</v>
      </c>
      <c r="B6" s="25" t="s">
        <v>74</v>
      </c>
      <c r="C6" s="25" t="s">
        <v>75</v>
      </c>
      <c r="D6" s="24" t="s">
        <v>76</v>
      </c>
      <c r="E6" s="26" t="s">
        <v>77</v>
      </c>
      <c r="F6" s="26" t="s">
        <v>159</v>
      </c>
    </row>
    <row r="7" spans="1:6" ht="39.75" customHeight="1" x14ac:dyDescent="0.25">
      <c r="A7" s="9">
        <v>2</v>
      </c>
      <c r="B7" s="27" t="s">
        <v>79</v>
      </c>
      <c r="C7" s="27" t="s">
        <v>80</v>
      </c>
      <c r="D7" s="9"/>
      <c r="E7" s="11" t="s">
        <v>455</v>
      </c>
      <c r="F7" s="11" t="s">
        <v>456</v>
      </c>
    </row>
    <row r="8" spans="1:6" ht="39.75" customHeight="1" x14ac:dyDescent="0.25">
      <c r="A8" s="9">
        <v>3</v>
      </c>
      <c r="B8" s="27" t="s">
        <v>289</v>
      </c>
      <c r="C8" s="27" t="s">
        <v>99</v>
      </c>
      <c r="D8" s="9"/>
      <c r="E8" s="11" t="s">
        <v>457</v>
      </c>
      <c r="F8" s="11" t="s">
        <v>458</v>
      </c>
    </row>
    <row r="9" spans="1:6" ht="39.75" customHeight="1" x14ac:dyDescent="0.25">
      <c r="A9" s="9">
        <v>4</v>
      </c>
      <c r="B9" s="27" t="s">
        <v>459</v>
      </c>
      <c r="C9" s="27" t="s">
        <v>88</v>
      </c>
      <c r="D9" s="9"/>
      <c r="E9" s="11" t="s">
        <v>460</v>
      </c>
      <c r="F9" s="11" t="s">
        <v>461</v>
      </c>
    </row>
    <row r="10" spans="1:6" ht="39.75" customHeight="1" x14ac:dyDescent="0.25">
      <c r="A10" s="32">
        <v>5</v>
      </c>
      <c r="B10" s="33" t="s">
        <v>462</v>
      </c>
      <c r="C10" s="33" t="s">
        <v>180</v>
      </c>
      <c r="D10" s="32" t="s">
        <v>181</v>
      </c>
      <c r="E10" s="34" t="s">
        <v>463</v>
      </c>
      <c r="F10" s="34" t="s">
        <v>464</v>
      </c>
    </row>
    <row r="11" spans="1:6" ht="39.75" customHeight="1" x14ac:dyDescent="0.25">
      <c r="A11" s="12">
        <v>6</v>
      </c>
      <c r="B11" s="28" t="s">
        <v>136</v>
      </c>
      <c r="C11" s="28" t="s">
        <v>75</v>
      </c>
      <c r="D11" s="12" t="s">
        <v>120</v>
      </c>
      <c r="E11" s="14" t="s">
        <v>465</v>
      </c>
      <c r="F11" s="14" t="s">
        <v>466</v>
      </c>
    </row>
    <row r="12" spans="1:6" ht="39.75" customHeight="1" x14ac:dyDescent="0.25">
      <c r="A12" s="29">
        <v>7</v>
      </c>
      <c r="B12" s="30" t="s">
        <v>129</v>
      </c>
      <c r="C12" s="30" t="s">
        <v>99</v>
      </c>
      <c r="D12" s="29" t="s">
        <v>130</v>
      </c>
      <c r="E12" s="31" t="s">
        <v>131</v>
      </c>
      <c r="F12" s="31" t="s">
        <v>132</v>
      </c>
    </row>
    <row r="13" spans="1:6" ht="39.75" customHeight="1" x14ac:dyDescent="0.25">
      <c r="A13" s="29">
        <v>8</v>
      </c>
      <c r="B13" s="30" t="s">
        <v>133</v>
      </c>
      <c r="C13" s="30" t="s">
        <v>75</v>
      </c>
      <c r="D13" s="29" t="s">
        <v>130</v>
      </c>
      <c r="E13" s="31" t="s">
        <v>134</v>
      </c>
      <c r="F13" s="31" t="s">
        <v>135</v>
      </c>
    </row>
    <row r="14" spans="1:6" ht="39.75" customHeight="1" x14ac:dyDescent="0.25">
      <c r="A14" s="29">
        <v>9</v>
      </c>
      <c r="B14" s="30" t="s">
        <v>136</v>
      </c>
      <c r="C14" s="30" t="s">
        <v>75</v>
      </c>
      <c r="D14" s="29" t="s">
        <v>130</v>
      </c>
      <c r="E14" s="31" t="s">
        <v>137</v>
      </c>
      <c r="F14" s="31" t="s">
        <v>138</v>
      </c>
    </row>
    <row r="15" spans="1:6" ht="39.75" customHeight="1" x14ac:dyDescent="0.25">
      <c r="A15" s="29">
        <v>10</v>
      </c>
      <c r="B15" s="30" t="s">
        <v>139</v>
      </c>
      <c r="C15" s="30" t="s">
        <v>140</v>
      </c>
      <c r="D15" s="29" t="s">
        <v>130</v>
      </c>
      <c r="E15" s="31" t="s">
        <v>141</v>
      </c>
      <c r="F15" s="31" t="s">
        <v>142</v>
      </c>
    </row>
    <row r="16" spans="1:6" ht="39.75" customHeight="1" x14ac:dyDescent="0.25">
      <c r="A16" s="29">
        <v>11</v>
      </c>
      <c r="B16" s="30" t="s">
        <v>143</v>
      </c>
      <c r="C16" s="30" t="s">
        <v>75</v>
      </c>
      <c r="D16" s="29" t="s">
        <v>130</v>
      </c>
      <c r="E16" s="31" t="s">
        <v>144</v>
      </c>
      <c r="F16" s="31" t="s">
        <v>145</v>
      </c>
    </row>
    <row r="17" spans="1:6" ht="39.75" customHeight="1" x14ac:dyDescent="0.25">
      <c r="A17" s="29">
        <v>12</v>
      </c>
      <c r="B17" s="30" t="s">
        <v>146</v>
      </c>
      <c r="C17" s="30" t="s">
        <v>140</v>
      </c>
      <c r="D17" s="29" t="s">
        <v>130</v>
      </c>
      <c r="E17" s="31" t="s">
        <v>147</v>
      </c>
      <c r="F17" s="31" t="s">
        <v>148</v>
      </c>
    </row>
    <row r="18" spans="1:6" ht="39.75" customHeight="1" x14ac:dyDescent="0.25">
      <c r="A18" s="29">
        <v>13</v>
      </c>
      <c r="B18" s="30" t="s">
        <v>149</v>
      </c>
      <c r="C18" s="30" t="s">
        <v>75</v>
      </c>
      <c r="D18" s="29" t="s">
        <v>130</v>
      </c>
      <c r="E18" s="31" t="s">
        <v>150</v>
      </c>
      <c r="F18" s="31" t="s">
        <v>145</v>
      </c>
    </row>
    <row r="19" spans="1:6" ht="39.75" customHeight="1" x14ac:dyDescent="0.25">
      <c r="A19" s="29">
        <v>14</v>
      </c>
      <c r="B19" s="30" t="s">
        <v>151</v>
      </c>
      <c r="C19" s="30" t="s">
        <v>103</v>
      </c>
      <c r="D19" s="29" t="s">
        <v>130</v>
      </c>
      <c r="E19" s="31" t="s">
        <v>152</v>
      </c>
      <c r="F19" s="31" t="s">
        <v>153</v>
      </c>
    </row>
    <row r="20" spans="1:6" ht="39.75" customHeight="1" x14ac:dyDescent="0.25">
      <c r="A20" s="29">
        <v>15</v>
      </c>
      <c r="B20" s="30" t="s">
        <v>154</v>
      </c>
      <c r="C20" s="30" t="s">
        <v>140</v>
      </c>
      <c r="D20" s="29" t="s">
        <v>130</v>
      </c>
      <c r="E20" s="31" t="s">
        <v>155</v>
      </c>
      <c r="F20" s="31" t="s">
        <v>156</v>
      </c>
    </row>
  </sheetData>
  <mergeCells count="2">
    <mergeCell ref="A2:F2"/>
    <mergeCell ref="A3:F3"/>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25"/>
  <sheetViews>
    <sheetView showGridLines="0" zoomScaleNormal="100" workbookViewId="0">
      <pane ySplit="5" topLeftCell="A6" activePane="bottomLeft" state="frozen"/>
      <selection pane="bottomLeft"/>
    </sheetView>
  </sheetViews>
  <sheetFormatPr defaultColWidth="8.7109375" defaultRowHeight="15" x14ac:dyDescent="0.25"/>
  <cols>
    <col min="1" max="1" width="6" customWidth="1"/>
    <col min="2" max="2" width="24" customWidth="1"/>
    <col min="3" max="3" width="22" customWidth="1"/>
    <col min="4" max="4" width="14" customWidth="1"/>
    <col min="5" max="5" width="54" customWidth="1"/>
    <col min="6" max="6" width="72" customWidth="1"/>
  </cols>
  <sheetData>
    <row r="1" spans="1:6" ht="18" x14ac:dyDescent="0.25">
      <c r="A1" s="23" t="s">
        <v>42</v>
      </c>
    </row>
    <row r="2" spans="1:6" ht="30" customHeight="1" x14ac:dyDescent="0.25">
      <c r="A2" s="3" t="s">
        <v>467</v>
      </c>
      <c r="B2" s="3"/>
      <c r="C2" s="3"/>
      <c r="D2" s="3"/>
      <c r="E2" s="3"/>
      <c r="F2" s="3"/>
    </row>
    <row r="3" spans="1:6" ht="43.5" customHeight="1" x14ac:dyDescent="0.25">
      <c r="A3" s="2" t="s">
        <v>468</v>
      </c>
      <c r="B3" s="2"/>
      <c r="C3" s="2"/>
      <c r="D3" s="2"/>
      <c r="E3" s="2"/>
      <c r="F3" s="2"/>
    </row>
    <row r="5" spans="1:6" ht="30" customHeight="1" x14ac:dyDescent="0.25">
      <c r="A5" s="8" t="s">
        <v>8</v>
      </c>
      <c r="B5" s="8" t="s">
        <v>70</v>
      </c>
      <c r="C5" s="8" t="s">
        <v>71</v>
      </c>
      <c r="D5" s="8" t="s">
        <v>72</v>
      </c>
      <c r="E5" s="8" t="s">
        <v>12</v>
      </c>
      <c r="F5" s="8" t="s">
        <v>73</v>
      </c>
    </row>
    <row r="6" spans="1:6" ht="39.75" customHeight="1" x14ac:dyDescent="0.25">
      <c r="A6" s="24">
        <v>1</v>
      </c>
      <c r="B6" s="25" t="s">
        <v>74</v>
      </c>
      <c r="C6" s="25" t="s">
        <v>75</v>
      </c>
      <c r="D6" s="24" t="s">
        <v>76</v>
      </c>
      <c r="E6" s="26" t="s">
        <v>77</v>
      </c>
      <c r="F6" s="26" t="s">
        <v>159</v>
      </c>
    </row>
    <row r="7" spans="1:6" ht="39.75" customHeight="1" x14ac:dyDescent="0.25">
      <c r="A7" s="12">
        <v>2</v>
      </c>
      <c r="B7" s="28" t="s">
        <v>160</v>
      </c>
      <c r="C7" s="28" t="s">
        <v>75</v>
      </c>
      <c r="D7" s="12" t="s">
        <v>120</v>
      </c>
      <c r="E7" s="14" t="s">
        <v>469</v>
      </c>
      <c r="F7" s="14" t="s">
        <v>470</v>
      </c>
    </row>
    <row r="8" spans="1:6" ht="39.75" customHeight="1" x14ac:dyDescent="0.25">
      <c r="A8" s="12">
        <v>3</v>
      </c>
      <c r="B8" s="28" t="s">
        <v>172</v>
      </c>
      <c r="C8" s="28" t="s">
        <v>103</v>
      </c>
      <c r="D8" s="12" t="s">
        <v>120</v>
      </c>
      <c r="E8" s="14" t="s">
        <v>471</v>
      </c>
      <c r="F8" s="14" t="s">
        <v>472</v>
      </c>
    </row>
    <row r="9" spans="1:6" ht="39.75" customHeight="1" x14ac:dyDescent="0.25">
      <c r="A9" s="9">
        <v>4</v>
      </c>
      <c r="B9" s="27" t="s">
        <v>361</v>
      </c>
      <c r="C9" s="27" t="s">
        <v>75</v>
      </c>
      <c r="D9" s="9" t="s">
        <v>241</v>
      </c>
      <c r="E9" s="11" t="s">
        <v>473</v>
      </c>
      <c r="F9" s="11" t="s">
        <v>474</v>
      </c>
    </row>
    <row r="10" spans="1:6" ht="39.75" customHeight="1" x14ac:dyDescent="0.25">
      <c r="A10" s="9">
        <v>5</v>
      </c>
      <c r="B10" s="27" t="s">
        <v>364</v>
      </c>
      <c r="C10" s="27" t="s">
        <v>88</v>
      </c>
      <c r="D10" s="9"/>
      <c r="E10" s="11" t="s">
        <v>475</v>
      </c>
      <c r="F10" s="11" t="s">
        <v>476</v>
      </c>
    </row>
    <row r="11" spans="1:6" ht="39.75" customHeight="1" x14ac:dyDescent="0.25">
      <c r="A11" s="12">
        <v>6</v>
      </c>
      <c r="B11" s="28" t="s">
        <v>166</v>
      </c>
      <c r="C11" s="28" t="s">
        <v>92</v>
      </c>
      <c r="D11" s="12" t="s">
        <v>120</v>
      </c>
      <c r="E11" s="14" t="s">
        <v>167</v>
      </c>
      <c r="F11" s="14" t="s">
        <v>477</v>
      </c>
    </row>
    <row r="12" spans="1:6" ht="39.75" customHeight="1" x14ac:dyDescent="0.25">
      <c r="A12" s="9">
        <v>7</v>
      </c>
      <c r="B12" s="27" t="s">
        <v>184</v>
      </c>
      <c r="C12" s="27" t="s">
        <v>185</v>
      </c>
      <c r="D12" s="9"/>
      <c r="E12" s="11" t="s">
        <v>186</v>
      </c>
      <c r="F12" s="11" t="s">
        <v>478</v>
      </c>
    </row>
    <row r="13" spans="1:6" ht="39.75" customHeight="1" x14ac:dyDescent="0.25">
      <c r="A13" s="9">
        <v>8</v>
      </c>
      <c r="B13" s="27" t="s">
        <v>479</v>
      </c>
      <c r="C13" s="27" t="s">
        <v>80</v>
      </c>
      <c r="D13" s="9"/>
      <c r="E13" s="11" t="s">
        <v>480</v>
      </c>
      <c r="F13" s="11" t="s">
        <v>481</v>
      </c>
    </row>
    <row r="14" spans="1:6" ht="39.75" customHeight="1" x14ac:dyDescent="0.25">
      <c r="A14" s="32">
        <v>9</v>
      </c>
      <c r="B14" s="33" t="s">
        <v>482</v>
      </c>
      <c r="C14" s="33" t="s">
        <v>180</v>
      </c>
      <c r="D14" s="32" t="s">
        <v>181</v>
      </c>
      <c r="E14" s="34" t="s">
        <v>483</v>
      </c>
      <c r="F14" s="34" t="s">
        <v>484</v>
      </c>
    </row>
    <row r="15" spans="1:6" ht="39.75" customHeight="1" x14ac:dyDescent="0.25">
      <c r="A15" s="12">
        <v>10</v>
      </c>
      <c r="B15" s="28" t="s">
        <v>485</v>
      </c>
      <c r="C15" s="28" t="s">
        <v>116</v>
      </c>
      <c r="D15" s="12" t="s">
        <v>120</v>
      </c>
      <c r="E15" s="14" t="s">
        <v>486</v>
      </c>
      <c r="F15" s="14" t="s">
        <v>487</v>
      </c>
    </row>
    <row r="16" spans="1:6" ht="39.75" customHeight="1" x14ac:dyDescent="0.25">
      <c r="A16" s="9">
        <v>11</v>
      </c>
      <c r="B16" s="27" t="s">
        <v>79</v>
      </c>
      <c r="C16" s="27" t="s">
        <v>80</v>
      </c>
      <c r="D16" s="9"/>
      <c r="E16" s="11" t="s">
        <v>488</v>
      </c>
      <c r="F16" s="11" t="s">
        <v>489</v>
      </c>
    </row>
    <row r="17" spans="1:6" ht="39.75" customHeight="1" x14ac:dyDescent="0.25">
      <c r="A17" s="29">
        <v>12</v>
      </c>
      <c r="B17" s="30" t="s">
        <v>129</v>
      </c>
      <c r="C17" s="30" t="s">
        <v>99</v>
      </c>
      <c r="D17" s="29" t="s">
        <v>130</v>
      </c>
      <c r="E17" s="31" t="s">
        <v>131</v>
      </c>
      <c r="F17" s="31" t="s">
        <v>132</v>
      </c>
    </row>
    <row r="18" spans="1:6" ht="39.75" customHeight="1" x14ac:dyDescent="0.25">
      <c r="A18" s="29">
        <v>13</v>
      </c>
      <c r="B18" s="30" t="s">
        <v>133</v>
      </c>
      <c r="C18" s="30" t="s">
        <v>75</v>
      </c>
      <c r="D18" s="29" t="s">
        <v>130</v>
      </c>
      <c r="E18" s="31" t="s">
        <v>134</v>
      </c>
      <c r="F18" s="31" t="s">
        <v>135</v>
      </c>
    </row>
    <row r="19" spans="1:6" ht="39.75" customHeight="1" x14ac:dyDescent="0.25">
      <c r="A19" s="29">
        <v>14</v>
      </c>
      <c r="B19" s="30" t="s">
        <v>136</v>
      </c>
      <c r="C19" s="30" t="s">
        <v>75</v>
      </c>
      <c r="D19" s="29" t="s">
        <v>130</v>
      </c>
      <c r="E19" s="31" t="s">
        <v>137</v>
      </c>
      <c r="F19" s="31" t="s">
        <v>138</v>
      </c>
    </row>
    <row r="20" spans="1:6" ht="39.75" customHeight="1" x14ac:dyDescent="0.25">
      <c r="A20" s="29">
        <v>15</v>
      </c>
      <c r="B20" s="30" t="s">
        <v>139</v>
      </c>
      <c r="C20" s="30" t="s">
        <v>140</v>
      </c>
      <c r="D20" s="29" t="s">
        <v>130</v>
      </c>
      <c r="E20" s="31" t="s">
        <v>141</v>
      </c>
      <c r="F20" s="31" t="s">
        <v>142</v>
      </c>
    </row>
    <row r="21" spans="1:6" ht="39.75" customHeight="1" x14ac:dyDescent="0.25">
      <c r="A21" s="29">
        <v>16</v>
      </c>
      <c r="B21" s="30" t="s">
        <v>143</v>
      </c>
      <c r="C21" s="30" t="s">
        <v>75</v>
      </c>
      <c r="D21" s="29" t="s">
        <v>130</v>
      </c>
      <c r="E21" s="31" t="s">
        <v>144</v>
      </c>
      <c r="F21" s="31" t="s">
        <v>145</v>
      </c>
    </row>
    <row r="22" spans="1:6" ht="39.75" customHeight="1" x14ac:dyDescent="0.25">
      <c r="A22" s="29">
        <v>17</v>
      </c>
      <c r="B22" s="30" t="s">
        <v>146</v>
      </c>
      <c r="C22" s="30" t="s">
        <v>140</v>
      </c>
      <c r="D22" s="29" t="s">
        <v>130</v>
      </c>
      <c r="E22" s="31" t="s">
        <v>147</v>
      </c>
      <c r="F22" s="31" t="s">
        <v>148</v>
      </c>
    </row>
    <row r="23" spans="1:6" ht="39.75" customHeight="1" x14ac:dyDescent="0.25">
      <c r="A23" s="29">
        <v>18</v>
      </c>
      <c r="B23" s="30" t="s">
        <v>149</v>
      </c>
      <c r="C23" s="30" t="s">
        <v>75</v>
      </c>
      <c r="D23" s="29" t="s">
        <v>130</v>
      </c>
      <c r="E23" s="31" t="s">
        <v>150</v>
      </c>
      <c r="F23" s="31" t="s">
        <v>145</v>
      </c>
    </row>
    <row r="24" spans="1:6" ht="39.75" customHeight="1" x14ac:dyDescent="0.25">
      <c r="A24" s="29">
        <v>19</v>
      </c>
      <c r="B24" s="30" t="s">
        <v>151</v>
      </c>
      <c r="C24" s="30" t="s">
        <v>103</v>
      </c>
      <c r="D24" s="29" t="s">
        <v>130</v>
      </c>
      <c r="E24" s="31" t="s">
        <v>152</v>
      </c>
      <c r="F24" s="31" t="s">
        <v>153</v>
      </c>
    </row>
    <row r="25" spans="1:6" ht="39.75" customHeight="1" x14ac:dyDescent="0.25">
      <c r="A25" s="29">
        <v>20</v>
      </c>
      <c r="B25" s="30" t="s">
        <v>154</v>
      </c>
      <c r="C25" s="30" t="s">
        <v>140</v>
      </c>
      <c r="D25" s="29" t="s">
        <v>130</v>
      </c>
      <c r="E25" s="31" t="s">
        <v>155</v>
      </c>
      <c r="F25" s="31" t="s">
        <v>156</v>
      </c>
    </row>
  </sheetData>
  <mergeCells count="2">
    <mergeCell ref="A2:F2"/>
    <mergeCell ref="A3:F3"/>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28"/>
  <sheetViews>
    <sheetView showGridLines="0" zoomScaleNormal="100" workbookViewId="0">
      <pane ySplit="5" topLeftCell="A6" activePane="bottomLeft" state="frozen"/>
      <selection pane="bottomLeft"/>
    </sheetView>
  </sheetViews>
  <sheetFormatPr defaultColWidth="8.7109375" defaultRowHeight="15" x14ac:dyDescent="0.25"/>
  <cols>
    <col min="1" max="1" width="6" customWidth="1"/>
    <col min="2" max="2" width="24" customWidth="1"/>
    <col min="3" max="3" width="22" customWidth="1"/>
    <col min="4" max="4" width="14" customWidth="1"/>
    <col min="5" max="5" width="54" customWidth="1"/>
    <col min="6" max="6" width="72" customWidth="1"/>
  </cols>
  <sheetData>
    <row r="1" spans="1:6" ht="18" x14ac:dyDescent="0.25">
      <c r="A1" s="23" t="s">
        <v>45</v>
      </c>
    </row>
    <row r="2" spans="1:6" ht="30" customHeight="1" x14ac:dyDescent="0.25">
      <c r="A2" s="3" t="s">
        <v>490</v>
      </c>
      <c r="B2" s="3"/>
      <c r="C2" s="3"/>
      <c r="D2" s="3"/>
      <c r="E2" s="3"/>
      <c r="F2" s="3"/>
    </row>
    <row r="3" spans="1:6" ht="43.5" customHeight="1" x14ac:dyDescent="0.25">
      <c r="A3" s="2" t="s">
        <v>491</v>
      </c>
      <c r="B3" s="2"/>
      <c r="C3" s="2"/>
      <c r="D3" s="2"/>
      <c r="E3" s="2"/>
      <c r="F3" s="2"/>
    </row>
    <row r="5" spans="1:6" ht="30" customHeight="1" x14ac:dyDescent="0.25">
      <c r="A5" s="8" t="s">
        <v>8</v>
      </c>
      <c r="B5" s="8" t="s">
        <v>70</v>
      </c>
      <c r="C5" s="8" t="s">
        <v>71</v>
      </c>
      <c r="D5" s="8" t="s">
        <v>72</v>
      </c>
      <c r="E5" s="8" t="s">
        <v>12</v>
      </c>
      <c r="F5" s="8" t="s">
        <v>73</v>
      </c>
    </row>
    <row r="6" spans="1:6" ht="39.75" customHeight="1" x14ac:dyDescent="0.25">
      <c r="A6" s="24">
        <v>1</v>
      </c>
      <c r="B6" s="25" t="s">
        <v>74</v>
      </c>
      <c r="C6" s="25" t="s">
        <v>75</v>
      </c>
      <c r="D6" s="24" t="s">
        <v>76</v>
      </c>
      <c r="E6" s="26" t="s">
        <v>77</v>
      </c>
      <c r="F6" s="26" t="s">
        <v>159</v>
      </c>
    </row>
    <row r="7" spans="1:6" ht="39.75" customHeight="1" x14ac:dyDescent="0.25">
      <c r="A7" s="9">
        <v>2</v>
      </c>
      <c r="B7" s="27" t="s">
        <v>284</v>
      </c>
      <c r="C7" s="27" t="s">
        <v>140</v>
      </c>
      <c r="D7" s="9"/>
      <c r="E7" s="11" t="s">
        <v>492</v>
      </c>
      <c r="F7" s="11" t="s">
        <v>493</v>
      </c>
    </row>
    <row r="8" spans="1:6" ht="39.75" customHeight="1" x14ac:dyDescent="0.25">
      <c r="A8" s="12">
        <v>3</v>
      </c>
      <c r="B8" s="28" t="s">
        <v>494</v>
      </c>
      <c r="C8" s="28" t="s">
        <v>92</v>
      </c>
      <c r="D8" s="12" t="s">
        <v>120</v>
      </c>
      <c r="E8" s="14" t="s">
        <v>495</v>
      </c>
      <c r="F8" s="14" t="s">
        <v>496</v>
      </c>
    </row>
    <row r="9" spans="1:6" ht="39.75" customHeight="1" x14ac:dyDescent="0.25">
      <c r="A9" s="9">
        <v>4</v>
      </c>
      <c r="B9" s="27" t="s">
        <v>497</v>
      </c>
      <c r="C9" s="27" t="s">
        <v>103</v>
      </c>
      <c r="D9" s="9"/>
      <c r="E9" s="11" t="s">
        <v>498</v>
      </c>
      <c r="F9" s="11" t="s">
        <v>499</v>
      </c>
    </row>
    <row r="10" spans="1:6" ht="39.75" customHeight="1" x14ac:dyDescent="0.25">
      <c r="A10" s="9">
        <v>5</v>
      </c>
      <c r="B10" s="27" t="s">
        <v>500</v>
      </c>
      <c r="C10" s="27" t="s">
        <v>103</v>
      </c>
      <c r="D10" s="9"/>
      <c r="E10" s="11" t="s">
        <v>501</v>
      </c>
      <c r="F10" s="11" t="s">
        <v>502</v>
      </c>
    </row>
    <row r="11" spans="1:6" ht="39.75" customHeight="1" x14ac:dyDescent="0.25">
      <c r="A11" s="9">
        <v>6</v>
      </c>
      <c r="B11" s="27" t="s">
        <v>160</v>
      </c>
      <c r="C11" s="27" t="s">
        <v>75</v>
      </c>
      <c r="D11" s="9"/>
      <c r="E11" s="11" t="s">
        <v>306</v>
      </c>
      <c r="F11" s="11" t="s">
        <v>503</v>
      </c>
    </row>
    <row r="12" spans="1:6" ht="39.75" customHeight="1" x14ac:dyDescent="0.25">
      <c r="A12" s="9">
        <v>7</v>
      </c>
      <c r="B12" s="27" t="s">
        <v>163</v>
      </c>
      <c r="C12" s="27" t="s">
        <v>75</v>
      </c>
      <c r="D12" s="9"/>
      <c r="E12" s="11" t="s">
        <v>504</v>
      </c>
      <c r="F12" s="11" t="s">
        <v>505</v>
      </c>
    </row>
    <row r="13" spans="1:6" ht="39.75" customHeight="1" x14ac:dyDescent="0.25">
      <c r="A13" s="9">
        <v>8</v>
      </c>
      <c r="B13" s="27" t="s">
        <v>320</v>
      </c>
      <c r="C13" s="27" t="s">
        <v>75</v>
      </c>
      <c r="D13" s="9"/>
      <c r="E13" s="11" t="s">
        <v>506</v>
      </c>
      <c r="F13" s="11" t="s">
        <v>507</v>
      </c>
    </row>
    <row r="14" spans="1:6" ht="39.75" customHeight="1" x14ac:dyDescent="0.25">
      <c r="A14" s="9">
        <v>9</v>
      </c>
      <c r="B14" s="27" t="s">
        <v>172</v>
      </c>
      <c r="C14" s="27" t="s">
        <v>103</v>
      </c>
      <c r="D14" s="9"/>
      <c r="E14" s="11" t="s">
        <v>508</v>
      </c>
      <c r="F14" s="11" t="s">
        <v>509</v>
      </c>
    </row>
    <row r="15" spans="1:6" ht="39.75" customHeight="1" x14ac:dyDescent="0.25">
      <c r="A15" s="9">
        <v>10</v>
      </c>
      <c r="B15" s="27" t="s">
        <v>510</v>
      </c>
      <c r="C15" s="27" t="s">
        <v>511</v>
      </c>
      <c r="D15" s="9"/>
      <c r="E15" s="11" t="s">
        <v>512</v>
      </c>
      <c r="F15" s="11" t="s">
        <v>513</v>
      </c>
    </row>
    <row r="16" spans="1:6" ht="39.75" customHeight="1" x14ac:dyDescent="0.25">
      <c r="A16" s="32">
        <v>11</v>
      </c>
      <c r="B16" s="33" t="s">
        <v>514</v>
      </c>
      <c r="C16" s="33" t="s">
        <v>180</v>
      </c>
      <c r="D16" s="32" t="s">
        <v>181</v>
      </c>
      <c r="E16" s="34" t="s">
        <v>515</v>
      </c>
      <c r="F16" s="34" t="s">
        <v>516</v>
      </c>
    </row>
    <row r="17" spans="1:6" ht="39.75" customHeight="1" x14ac:dyDescent="0.25">
      <c r="A17" s="9">
        <v>12</v>
      </c>
      <c r="B17" s="27" t="s">
        <v>517</v>
      </c>
      <c r="C17" s="27" t="s">
        <v>116</v>
      </c>
      <c r="D17" s="9" t="s">
        <v>10</v>
      </c>
      <c r="E17" s="11" t="s">
        <v>518</v>
      </c>
      <c r="F17" s="11" t="s">
        <v>519</v>
      </c>
    </row>
    <row r="18" spans="1:6" ht="39.75" customHeight="1" x14ac:dyDescent="0.25">
      <c r="A18" s="9">
        <v>13</v>
      </c>
      <c r="B18" s="27" t="s">
        <v>520</v>
      </c>
      <c r="C18" s="27" t="s">
        <v>75</v>
      </c>
      <c r="D18" s="9" t="s">
        <v>10</v>
      </c>
      <c r="E18" s="11" t="s">
        <v>521</v>
      </c>
      <c r="F18" s="11" t="s">
        <v>522</v>
      </c>
    </row>
    <row r="19" spans="1:6" ht="39.75" customHeight="1" x14ac:dyDescent="0.25">
      <c r="A19" s="9">
        <v>14</v>
      </c>
      <c r="B19" s="27" t="s">
        <v>523</v>
      </c>
      <c r="C19" s="27" t="s">
        <v>140</v>
      </c>
      <c r="D19" s="9" t="s">
        <v>10</v>
      </c>
      <c r="E19" s="11" t="s">
        <v>524</v>
      </c>
      <c r="F19" s="11" t="s">
        <v>525</v>
      </c>
    </row>
    <row r="20" spans="1:6" ht="39.75" customHeight="1" x14ac:dyDescent="0.25">
      <c r="A20" s="29">
        <v>15</v>
      </c>
      <c r="B20" s="30" t="s">
        <v>129</v>
      </c>
      <c r="C20" s="30" t="s">
        <v>99</v>
      </c>
      <c r="D20" s="29" t="s">
        <v>130</v>
      </c>
      <c r="E20" s="31" t="s">
        <v>131</v>
      </c>
      <c r="F20" s="31" t="s">
        <v>132</v>
      </c>
    </row>
    <row r="21" spans="1:6" ht="39.75" customHeight="1" x14ac:dyDescent="0.25">
      <c r="A21" s="29">
        <v>16</v>
      </c>
      <c r="B21" s="30" t="s">
        <v>133</v>
      </c>
      <c r="C21" s="30" t="s">
        <v>75</v>
      </c>
      <c r="D21" s="29" t="s">
        <v>130</v>
      </c>
      <c r="E21" s="31" t="s">
        <v>134</v>
      </c>
      <c r="F21" s="31" t="s">
        <v>135</v>
      </c>
    </row>
    <row r="22" spans="1:6" ht="39.75" customHeight="1" x14ac:dyDescent="0.25">
      <c r="A22" s="29">
        <v>17</v>
      </c>
      <c r="B22" s="30" t="s">
        <v>136</v>
      </c>
      <c r="C22" s="30" t="s">
        <v>75</v>
      </c>
      <c r="D22" s="29" t="s">
        <v>130</v>
      </c>
      <c r="E22" s="31" t="s">
        <v>137</v>
      </c>
      <c r="F22" s="31" t="s">
        <v>138</v>
      </c>
    </row>
    <row r="23" spans="1:6" ht="39.75" customHeight="1" x14ac:dyDescent="0.25">
      <c r="A23" s="29">
        <v>18</v>
      </c>
      <c r="B23" s="30" t="s">
        <v>139</v>
      </c>
      <c r="C23" s="30" t="s">
        <v>140</v>
      </c>
      <c r="D23" s="29" t="s">
        <v>130</v>
      </c>
      <c r="E23" s="31" t="s">
        <v>141</v>
      </c>
      <c r="F23" s="31" t="s">
        <v>142</v>
      </c>
    </row>
    <row r="24" spans="1:6" ht="39.75" customHeight="1" x14ac:dyDescent="0.25">
      <c r="A24" s="29">
        <v>19</v>
      </c>
      <c r="B24" s="30" t="s">
        <v>143</v>
      </c>
      <c r="C24" s="30" t="s">
        <v>75</v>
      </c>
      <c r="D24" s="29" t="s">
        <v>130</v>
      </c>
      <c r="E24" s="31" t="s">
        <v>144</v>
      </c>
      <c r="F24" s="31" t="s">
        <v>145</v>
      </c>
    </row>
    <row r="25" spans="1:6" ht="39.75" customHeight="1" x14ac:dyDescent="0.25">
      <c r="A25" s="29">
        <v>20</v>
      </c>
      <c r="B25" s="30" t="s">
        <v>146</v>
      </c>
      <c r="C25" s="30" t="s">
        <v>140</v>
      </c>
      <c r="D25" s="29" t="s">
        <v>130</v>
      </c>
      <c r="E25" s="31" t="s">
        <v>147</v>
      </c>
      <c r="F25" s="31" t="s">
        <v>148</v>
      </c>
    </row>
    <row r="26" spans="1:6" ht="39.75" customHeight="1" x14ac:dyDescent="0.25">
      <c r="A26" s="29">
        <v>21</v>
      </c>
      <c r="B26" s="30" t="s">
        <v>149</v>
      </c>
      <c r="C26" s="30" t="s">
        <v>75</v>
      </c>
      <c r="D26" s="29" t="s">
        <v>130</v>
      </c>
      <c r="E26" s="31" t="s">
        <v>150</v>
      </c>
      <c r="F26" s="31" t="s">
        <v>145</v>
      </c>
    </row>
    <row r="27" spans="1:6" ht="39.75" customHeight="1" x14ac:dyDescent="0.25">
      <c r="A27" s="29">
        <v>22</v>
      </c>
      <c r="B27" s="30" t="s">
        <v>151</v>
      </c>
      <c r="C27" s="30" t="s">
        <v>103</v>
      </c>
      <c r="D27" s="29" t="s">
        <v>130</v>
      </c>
      <c r="E27" s="31" t="s">
        <v>152</v>
      </c>
      <c r="F27" s="31" t="s">
        <v>153</v>
      </c>
    </row>
    <row r="28" spans="1:6" ht="39.75" customHeight="1" x14ac:dyDescent="0.25">
      <c r="A28" s="29">
        <v>23</v>
      </c>
      <c r="B28" s="30" t="s">
        <v>154</v>
      </c>
      <c r="C28" s="30" t="s">
        <v>140</v>
      </c>
      <c r="D28" s="29" t="s">
        <v>130</v>
      </c>
      <c r="E28" s="31" t="s">
        <v>155</v>
      </c>
      <c r="F28" s="31" t="s">
        <v>156</v>
      </c>
    </row>
  </sheetData>
  <mergeCells count="2">
    <mergeCell ref="A2:F2"/>
    <mergeCell ref="A3:F3"/>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3"/>
  <sheetViews>
    <sheetView showGridLines="0" zoomScaleNormal="100" workbookViewId="0">
      <pane ySplit="5" topLeftCell="A6" activePane="bottomLeft" state="frozen"/>
      <selection pane="bottomLeft"/>
    </sheetView>
  </sheetViews>
  <sheetFormatPr defaultColWidth="8.7109375" defaultRowHeight="15" x14ac:dyDescent="0.25"/>
  <cols>
    <col min="1" max="1" width="6" customWidth="1"/>
    <col min="2" max="2" width="20" customWidth="1"/>
    <col min="3" max="3" width="12" customWidth="1"/>
    <col min="4" max="4" width="56" customWidth="1"/>
    <col min="5" max="5" width="74" customWidth="1"/>
  </cols>
  <sheetData>
    <row r="1" spans="1:5" ht="18" x14ac:dyDescent="0.25">
      <c r="A1" s="37" t="s">
        <v>526</v>
      </c>
    </row>
    <row r="2" spans="1:5" ht="30" customHeight="1" x14ac:dyDescent="0.25">
      <c r="A2" s="3" t="s">
        <v>527</v>
      </c>
      <c r="B2" s="3"/>
      <c r="C2" s="3"/>
      <c r="D2" s="3"/>
      <c r="E2" s="3"/>
    </row>
    <row r="3" spans="1:5" ht="43.5" customHeight="1" x14ac:dyDescent="0.25">
      <c r="A3" s="2" t="s">
        <v>528</v>
      </c>
      <c r="B3" s="2"/>
      <c r="C3" s="2"/>
      <c r="D3" s="2"/>
      <c r="E3" s="2"/>
    </row>
    <row r="5" spans="1:5" ht="30" customHeight="1" x14ac:dyDescent="0.25">
      <c r="A5" s="8" t="s">
        <v>8</v>
      </c>
      <c r="B5" s="8" t="s">
        <v>529</v>
      </c>
      <c r="C5" s="8" t="s">
        <v>530</v>
      </c>
      <c r="D5" s="8" t="s">
        <v>12</v>
      </c>
      <c r="E5" s="8" t="s">
        <v>73</v>
      </c>
    </row>
    <row r="6" spans="1:5" ht="42" customHeight="1" x14ac:dyDescent="0.25">
      <c r="A6" s="9">
        <v>1</v>
      </c>
      <c r="B6" s="27" t="s">
        <v>531</v>
      </c>
      <c r="C6" s="10" t="s">
        <v>532</v>
      </c>
      <c r="D6" s="11" t="s">
        <v>533</v>
      </c>
      <c r="E6" s="11" t="s">
        <v>534</v>
      </c>
    </row>
    <row r="7" spans="1:5" ht="42" customHeight="1" x14ac:dyDescent="0.25">
      <c r="A7" s="9">
        <v>2</v>
      </c>
      <c r="B7" s="27" t="s">
        <v>535</v>
      </c>
      <c r="C7" s="10" t="s">
        <v>88</v>
      </c>
      <c r="D7" s="11" t="s">
        <v>536</v>
      </c>
      <c r="E7" s="11" t="s">
        <v>537</v>
      </c>
    </row>
    <row r="8" spans="1:5" ht="42" customHeight="1" x14ac:dyDescent="0.25">
      <c r="A8" s="9">
        <v>3</v>
      </c>
      <c r="B8" s="27" t="s">
        <v>538</v>
      </c>
      <c r="C8" s="10" t="s">
        <v>532</v>
      </c>
      <c r="D8" s="11" t="s">
        <v>539</v>
      </c>
      <c r="E8" s="11" t="s">
        <v>540</v>
      </c>
    </row>
    <row r="9" spans="1:5" ht="42" customHeight="1" x14ac:dyDescent="0.25">
      <c r="A9" s="9">
        <v>4</v>
      </c>
      <c r="B9" s="27" t="s">
        <v>541</v>
      </c>
      <c r="C9" s="10" t="s">
        <v>532</v>
      </c>
      <c r="D9" s="11" t="s">
        <v>542</v>
      </c>
      <c r="E9" s="11" t="s">
        <v>540</v>
      </c>
    </row>
    <row r="10" spans="1:5" ht="42" customHeight="1" x14ac:dyDescent="0.25">
      <c r="A10" s="9">
        <v>5</v>
      </c>
      <c r="B10" s="27" t="s">
        <v>543</v>
      </c>
      <c r="C10" s="10" t="s">
        <v>544</v>
      </c>
      <c r="D10" s="11" t="s">
        <v>545</v>
      </c>
      <c r="E10" s="11" t="s">
        <v>546</v>
      </c>
    </row>
    <row r="11" spans="1:5" ht="42" customHeight="1" x14ac:dyDescent="0.25">
      <c r="A11" s="9">
        <v>6</v>
      </c>
      <c r="B11" s="27" t="s">
        <v>547</v>
      </c>
      <c r="C11" s="10" t="s">
        <v>532</v>
      </c>
      <c r="D11" s="11" t="s">
        <v>548</v>
      </c>
      <c r="E11" s="11" t="s">
        <v>549</v>
      </c>
    </row>
    <row r="12" spans="1:5" ht="42" customHeight="1" x14ac:dyDescent="0.25">
      <c r="A12" s="9">
        <v>7</v>
      </c>
      <c r="B12" s="27" t="s">
        <v>550</v>
      </c>
      <c r="C12" s="10" t="s">
        <v>532</v>
      </c>
      <c r="D12" s="11" t="s">
        <v>551</v>
      </c>
      <c r="E12" s="11" t="s">
        <v>552</v>
      </c>
    </row>
    <row r="13" spans="1:5" ht="42" customHeight="1" x14ac:dyDescent="0.25">
      <c r="A13" s="9">
        <v>8</v>
      </c>
      <c r="B13" s="27" t="s">
        <v>553</v>
      </c>
      <c r="C13" s="10" t="s">
        <v>88</v>
      </c>
      <c r="D13" s="11" t="s">
        <v>554</v>
      </c>
      <c r="E13" s="11" t="s">
        <v>555</v>
      </c>
    </row>
  </sheetData>
  <mergeCells count="2">
    <mergeCell ref="A2:E2"/>
    <mergeCell ref="A3:E3"/>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8"/>
  <sheetViews>
    <sheetView showGridLines="0" zoomScaleNormal="100" workbookViewId="0">
      <pane ySplit="5" topLeftCell="A6" activePane="bottomLeft" state="frozen"/>
      <selection pane="bottomLeft"/>
    </sheetView>
  </sheetViews>
  <sheetFormatPr defaultColWidth="8.7109375" defaultRowHeight="15" x14ac:dyDescent="0.25"/>
  <cols>
    <col min="1" max="1" width="6" customWidth="1"/>
    <col min="2" max="2" width="20" customWidth="1"/>
    <col min="3" max="3" width="12" customWidth="1"/>
    <col min="4" max="4" width="56" customWidth="1"/>
    <col min="5" max="5" width="74" customWidth="1"/>
  </cols>
  <sheetData>
    <row r="1" spans="1:5" ht="18" x14ac:dyDescent="0.25">
      <c r="A1" s="37" t="s">
        <v>556</v>
      </c>
    </row>
    <row r="2" spans="1:5" ht="30" customHeight="1" x14ac:dyDescent="0.25">
      <c r="A2" s="3" t="s">
        <v>557</v>
      </c>
      <c r="B2" s="3"/>
      <c r="C2" s="3"/>
      <c r="D2" s="3"/>
      <c r="E2" s="3"/>
    </row>
    <row r="3" spans="1:5" ht="43.5" customHeight="1" x14ac:dyDescent="0.25">
      <c r="A3" s="2" t="s">
        <v>558</v>
      </c>
      <c r="B3" s="2"/>
      <c r="C3" s="2"/>
      <c r="D3" s="2"/>
      <c r="E3" s="2"/>
    </row>
    <row r="5" spans="1:5" ht="30" customHeight="1" x14ac:dyDescent="0.25">
      <c r="A5" s="8" t="s">
        <v>8</v>
      </c>
      <c r="B5" s="8" t="s">
        <v>529</v>
      </c>
      <c r="C5" s="8" t="s">
        <v>530</v>
      </c>
      <c r="D5" s="8" t="s">
        <v>12</v>
      </c>
      <c r="E5" s="8" t="s">
        <v>73</v>
      </c>
    </row>
    <row r="6" spans="1:5" ht="42" customHeight="1" x14ac:dyDescent="0.25">
      <c r="A6" s="9">
        <v>1</v>
      </c>
      <c r="B6" s="27" t="s">
        <v>559</v>
      </c>
      <c r="C6" s="10" t="s">
        <v>532</v>
      </c>
      <c r="D6" s="11" t="s">
        <v>560</v>
      </c>
      <c r="E6" s="11" t="s">
        <v>561</v>
      </c>
    </row>
    <row r="7" spans="1:5" ht="42" customHeight="1" x14ac:dyDescent="0.25">
      <c r="A7" s="9">
        <v>2</v>
      </c>
      <c r="B7" s="27" t="s">
        <v>562</v>
      </c>
      <c r="C7" s="10" t="s">
        <v>532</v>
      </c>
      <c r="D7" s="11" t="s">
        <v>563</v>
      </c>
      <c r="E7" s="11" t="s">
        <v>564</v>
      </c>
    </row>
    <row r="8" spans="1:5" ht="42" customHeight="1" x14ac:dyDescent="0.25">
      <c r="A8" s="9">
        <v>3</v>
      </c>
      <c r="B8" s="27" t="s">
        <v>565</v>
      </c>
      <c r="C8" s="10" t="s">
        <v>532</v>
      </c>
      <c r="D8" s="11" t="s">
        <v>566</v>
      </c>
      <c r="E8" s="11" t="s">
        <v>567</v>
      </c>
    </row>
    <row r="9" spans="1:5" ht="42" customHeight="1" x14ac:dyDescent="0.25">
      <c r="A9" s="9">
        <v>4</v>
      </c>
      <c r="B9" s="27" t="s">
        <v>568</v>
      </c>
      <c r="C9" s="10" t="s">
        <v>532</v>
      </c>
      <c r="D9" s="11" t="s">
        <v>569</v>
      </c>
      <c r="E9" s="11" t="s">
        <v>570</v>
      </c>
    </row>
    <row r="10" spans="1:5" ht="42" customHeight="1" x14ac:dyDescent="0.25">
      <c r="A10" s="9">
        <v>5</v>
      </c>
      <c r="B10" s="27" t="s">
        <v>571</v>
      </c>
      <c r="C10" s="10" t="s">
        <v>532</v>
      </c>
      <c r="D10" s="11" t="s">
        <v>572</v>
      </c>
      <c r="E10" s="11" t="s">
        <v>573</v>
      </c>
    </row>
    <row r="11" spans="1:5" ht="42" customHeight="1" x14ac:dyDescent="0.25">
      <c r="A11" s="9">
        <v>6</v>
      </c>
      <c r="B11" s="27" t="s">
        <v>574</v>
      </c>
      <c r="C11" s="10" t="s">
        <v>532</v>
      </c>
      <c r="D11" s="11" t="s">
        <v>575</v>
      </c>
      <c r="E11" s="11" t="s">
        <v>576</v>
      </c>
    </row>
    <row r="12" spans="1:5" ht="42" customHeight="1" x14ac:dyDescent="0.25">
      <c r="A12" s="9">
        <v>7</v>
      </c>
      <c r="B12" s="27" t="s">
        <v>577</v>
      </c>
      <c r="C12" s="10" t="s">
        <v>532</v>
      </c>
      <c r="D12" s="11" t="s">
        <v>578</v>
      </c>
      <c r="E12" s="11" t="s">
        <v>579</v>
      </c>
    </row>
    <row r="13" spans="1:5" ht="42" customHeight="1" x14ac:dyDescent="0.25">
      <c r="A13" s="9">
        <v>8</v>
      </c>
      <c r="B13" s="27" t="s">
        <v>580</v>
      </c>
      <c r="C13" s="10" t="s">
        <v>532</v>
      </c>
      <c r="D13" s="11" t="s">
        <v>581</v>
      </c>
      <c r="E13" s="11" t="s">
        <v>582</v>
      </c>
    </row>
    <row r="14" spans="1:5" ht="42" customHeight="1" x14ac:dyDescent="0.25">
      <c r="A14" s="9">
        <v>9</v>
      </c>
      <c r="B14" s="27" t="s">
        <v>583</v>
      </c>
      <c r="C14" s="10" t="s">
        <v>532</v>
      </c>
      <c r="D14" s="11" t="s">
        <v>584</v>
      </c>
      <c r="E14" s="11" t="s">
        <v>585</v>
      </c>
    </row>
    <row r="15" spans="1:5" ht="42" customHeight="1" x14ac:dyDescent="0.25">
      <c r="A15" s="9">
        <v>10</v>
      </c>
      <c r="B15" s="27" t="s">
        <v>586</v>
      </c>
      <c r="C15" s="10" t="s">
        <v>587</v>
      </c>
      <c r="D15" s="11" t="s">
        <v>588</v>
      </c>
      <c r="E15" s="11" t="s">
        <v>589</v>
      </c>
    </row>
    <row r="16" spans="1:5" ht="42" customHeight="1" x14ac:dyDescent="0.25">
      <c r="A16" s="9">
        <v>11</v>
      </c>
      <c r="B16" s="27" t="s">
        <v>590</v>
      </c>
      <c r="C16" s="10" t="s">
        <v>587</v>
      </c>
      <c r="D16" s="11" t="s">
        <v>591</v>
      </c>
      <c r="E16" s="11" t="s">
        <v>592</v>
      </c>
    </row>
    <row r="17" spans="1:5" ht="42" customHeight="1" x14ac:dyDescent="0.25">
      <c r="A17" s="9">
        <v>12</v>
      </c>
      <c r="B17" s="27" t="s">
        <v>593</v>
      </c>
      <c r="C17" s="10" t="s">
        <v>88</v>
      </c>
      <c r="D17" s="11" t="s">
        <v>594</v>
      </c>
      <c r="E17" s="11" t="s">
        <v>595</v>
      </c>
    </row>
    <row r="18" spans="1:5" ht="42" customHeight="1" x14ac:dyDescent="0.25">
      <c r="A18" s="9">
        <v>13</v>
      </c>
      <c r="B18" s="27" t="s">
        <v>596</v>
      </c>
      <c r="C18" s="10" t="s">
        <v>88</v>
      </c>
      <c r="D18" s="11" t="s">
        <v>597</v>
      </c>
      <c r="E18" s="11" t="s">
        <v>598</v>
      </c>
    </row>
  </sheetData>
  <mergeCells count="2">
    <mergeCell ref="A2:E2"/>
    <mergeCell ref="A3:E3"/>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0"/>
  <sheetViews>
    <sheetView showGridLines="0" zoomScaleNormal="100" workbookViewId="0">
      <pane ySplit="5" topLeftCell="A6" activePane="bottomLeft" state="frozen"/>
      <selection pane="bottomLeft"/>
    </sheetView>
  </sheetViews>
  <sheetFormatPr defaultColWidth="8.7109375" defaultRowHeight="15" x14ac:dyDescent="0.25"/>
  <cols>
    <col min="1" max="1" width="6" customWidth="1"/>
    <col min="2" max="2" width="20" customWidth="1"/>
    <col min="3" max="3" width="12" customWidth="1"/>
    <col min="4" max="4" width="56" customWidth="1"/>
    <col min="5" max="5" width="74" customWidth="1"/>
  </cols>
  <sheetData>
    <row r="1" spans="1:5" ht="18" x14ac:dyDescent="0.25">
      <c r="A1" s="37" t="s">
        <v>599</v>
      </c>
    </row>
    <row r="2" spans="1:5" ht="30" customHeight="1" x14ac:dyDescent="0.25">
      <c r="A2" s="3" t="s">
        <v>600</v>
      </c>
      <c r="B2" s="3"/>
      <c r="C2" s="3"/>
      <c r="D2" s="3"/>
      <c r="E2" s="3"/>
    </row>
    <row r="3" spans="1:5" ht="43.5" customHeight="1" x14ac:dyDescent="0.25">
      <c r="A3" s="2" t="s">
        <v>601</v>
      </c>
      <c r="B3" s="2"/>
      <c r="C3" s="2"/>
      <c r="D3" s="2"/>
      <c r="E3" s="2"/>
    </row>
    <row r="5" spans="1:5" ht="30" customHeight="1" x14ac:dyDescent="0.25">
      <c r="A5" s="8" t="s">
        <v>8</v>
      </c>
      <c r="B5" s="8" t="s">
        <v>529</v>
      </c>
      <c r="C5" s="8" t="s">
        <v>530</v>
      </c>
      <c r="D5" s="8" t="s">
        <v>12</v>
      </c>
      <c r="E5" s="8" t="s">
        <v>73</v>
      </c>
    </row>
    <row r="6" spans="1:5" ht="42" customHeight="1" x14ac:dyDescent="0.25">
      <c r="A6" s="9">
        <v>1</v>
      </c>
      <c r="B6" s="27" t="s">
        <v>602</v>
      </c>
      <c r="C6" s="10" t="s">
        <v>532</v>
      </c>
      <c r="D6" s="11" t="s">
        <v>603</v>
      </c>
      <c r="E6" s="11" t="s">
        <v>604</v>
      </c>
    </row>
    <row r="7" spans="1:5" ht="42" customHeight="1" x14ac:dyDescent="0.25">
      <c r="A7" s="9">
        <v>2</v>
      </c>
      <c r="B7" s="27" t="s">
        <v>605</v>
      </c>
      <c r="C7" s="10" t="s">
        <v>532</v>
      </c>
      <c r="D7" s="11" t="s">
        <v>606</v>
      </c>
      <c r="E7" s="11" t="s">
        <v>607</v>
      </c>
    </row>
    <row r="8" spans="1:5" ht="42" customHeight="1" x14ac:dyDescent="0.25">
      <c r="A8" s="9">
        <v>3</v>
      </c>
      <c r="B8" s="27" t="s">
        <v>608</v>
      </c>
      <c r="C8" s="10" t="s">
        <v>532</v>
      </c>
      <c r="D8" s="11" t="s">
        <v>609</v>
      </c>
      <c r="E8" s="11" t="s">
        <v>610</v>
      </c>
    </row>
    <row r="9" spans="1:5" ht="42" customHeight="1" x14ac:dyDescent="0.25">
      <c r="A9" s="9">
        <v>4</v>
      </c>
      <c r="B9" s="27" t="s">
        <v>611</v>
      </c>
      <c r="C9" s="10" t="s">
        <v>587</v>
      </c>
      <c r="D9" s="11" t="s">
        <v>612</v>
      </c>
      <c r="E9" s="11" t="s">
        <v>613</v>
      </c>
    </row>
    <row r="10" spans="1:5" ht="42" customHeight="1" x14ac:dyDescent="0.25">
      <c r="A10" s="9">
        <v>5</v>
      </c>
      <c r="B10" s="27" t="s">
        <v>593</v>
      </c>
      <c r="C10" s="10" t="s">
        <v>88</v>
      </c>
      <c r="D10" s="11" t="s">
        <v>127</v>
      </c>
      <c r="E10" s="11" t="s">
        <v>614</v>
      </c>
    </row>
  </sheetData>
  <mergeCells count="2">
    <mergeCell ref="A2:E2"/>
    <mergeCell ref="A3:E3"/>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3"/>
  <sheetViews>
    <sheetView showGridLines="0" zoomScaleNormal="100" workbookViewId="0">
      <pane ySplit="5" topLeftCell="A6" activePane="bottomLeft" state="frozen"/>
      <selection pane="bottomLeft"/>
    </sheetView>
  </sheetViews>
  <sheetFormatPr defaultColWidth="8.7109375" defaultRowHeight="15" x14ac:dyDescent="0.25"/>
  <cols>
    <col min="1" max="1" width="6" customWidth="1"/>
    <col min="2" max="2" width="20" customWidth="1"/>
    <col min="3" max="3" width="12" customWidth="1"/>
    <col min="4" max="4" width="56" customWidth="1"/>
    <col min="5" max="5" width="74" customWidth="1"/>
  </cols>
  <sheetData>
    <row r="1" spans="1:5" ht="18" x14ac:dyDescent="0.25">
      <c r="A1" s="37" t="s">
        <v>615</v>
      </c>
    </row>
    <row r="2" spans="1:5" ht="30" customHeight="1" x14ac:dyDescent="0.25">
      <c r="A2" s="3" t="s">
        <v>616</v>
      </c>
      <c r="B2" s="3"/>
      <c r="C2" s="3"/>
      <c r="D2" s="3"/>
      <c r="E2" s="3"/>
    </row>
    <row r="3" spans="1:5" ht="43.5" customHeight="1" x14ac:dyDescent="0.25">
      <c r="A3" s="2" t="s">
        <v>617</v>
      </c>
      <c r="B3" s="2"/>
      <c r="C3" s="2"/>
      <c r="D3" s="2"/>
      <c r="E3" s="2"/>
    </row>
    <row r="5" spans="1:5" ht="30" customHeight="1" x14ac:dyDescent="0.25">
      <c r="A5" s="8" t="s">
        <v>8</v>
      </c>
      <c r="B5" s="8" t="s">
        <v>529</v>
      </c>
      <c r="C5" s="8" t="s">
        <v>530</v>
      </c>
      <c r="D5" s="8" t="s">
        <v>12</v>
      </c>
      <c r="E5" s="8" t="s">
        <v>73</v>
      </c>
    </row>
    <row r="6" spans="1:5" ht="42" customHeight="1" x14ac:dyDescent="0.25">
      <c r="A6" s="9">
        <v>1</v>
      </c>
      <c r="B6" s="27" t="s">
        <v>559</v>
      </c>
      <c r="C6" s="10" t="s">
        <v>532</v>
      </c>
      <c r="D6" s="11" t="s">
        <v>618</v>
      </c>
      <c r="E6" s="11" t="s">
        <v>619</v>
      </c>
    </row>
    <row r="7" spans="1:5" ht="42" customHeight="1" x14ac:dyDescent="0.25">
      <c r="A7" s="9">
        <v>2</v>
      </c>
      <c r="B7" s="27" t="s">
        <v>620</v>
      </c>
      <c r="C7" s="10" t="s">
        <v>532</v>
      </c>
      <c r="D7" s="11" t="s">
        <v>621</v>
      </c>
      <c r="E7" s="11" t="s">
        <v>622</v>
      </c>
    </row>
    <row r="8" spans="1:5" ht="42" customHeight="1" x14ac:dyDescent="0.25">
      <c r="A8" s="9">
        <v>3</v>
      </c>
      <c r="B8" s="27" t="s">
        <v>623</v>
      </c>
      <c r="C8" s="10" t="s">
        <v>532</v>
      </c>
      <c r="D8" s="11" t="s">
        <v>624</v>
      </c>
      <c r="E8" s="11" t="s">
        <v>625</v>
      </c>
    </row>
    <row r="9" spans="1:5" ht="42" customHeight="1" x14ac:dyDescent="0.25">
      <c r="A9" s="9">
        <v>4</v>
      </c>
      <c r="B9" s="27" t="s">
        <v>626</v>
      </c>
      <c r="C9" s="10" t="s">
        <v>532</v>
      </c>
      <c r="D9" s="11" t="s">
        <v>627</v>
      </c>
      <c r="E9" s="11" t="s">
        <v>628</v>
      </c>
    </row>
    <row r="10" spans="1:5" ht="42" customHeight="1" x14ac:dyDescent="0.25">
      <c r="A10" s="9">
        <v>5</v>
      </c>
      <c r="B10" s="27" t="s">
        <v>580</v>
      </c>
      <c r="C10" s="10" t="s">
        <v>532</v>
      </c>
      <c r="D10" s="11" t="s">
        <v>629</v>
      </c>
      <c r="E10" s="11" t="s">
        <v>630</v>
      </c>
    </row>
    <row r="11" spans="1:5" ht="42" customHeight="1" x14ac:dyDescent="0.25">
      <c r="A11" s="9">
        <v>6</v>
      </c>
      <c r="B11" s="27" t="s">
        <v>577</v>
      </c>
      <c r="C11" s="10" t="s">
        <v>532</v>
      </c>
      <c r="D11" s="11" t="s">
        <v>631</v>
      </c>
      <c r="E11" s="11" t="s">
        <v>632</v>
      </c>
    </row>
    <row r="12" spans="1:5" ht="42" customHeight="1" x14ac:dyDescent="0.25">
      <c r="A12" s="9">
        <v>7</v>
      </c>
      <c r="B12" s="27" t="s">
        <v>583</v>
      </c>
      <c r="C12" s="10" t="s">
        <v>532</v>
      </c>
      <c r="D12" s="11" t="s">
        <v>633</v>
      </c>
      <c r="E12" s="11" t="s">
        <v>634</v>
      </c>
    </row>
    <row r="13" spans="1:5" ht="42" customHeight="1" x14ac:dyDescent="0.25">
      <c r="A13" s="9">
        <v>8</v>
      </c>
      <c r="B13" s="27" t="s">
        <v>635</v>
      </c>
      <c r="C13" s="10" t="s">
        <v>587</v>
      </c>
      <c r="D13" s="11" t="s">
        <v>636</v>
      </c>
      <c r="E13" s="11" t="s">
        <v>637</v>
      </c>
    </row>
  </sheetData>
  <mergeCells count="2">
    <mergeCell ref="A2:E2"/>
    <mergeCell ref="A3:E3"/>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13"/>
  <sheetViews>
    <sheetView showGridLines="0" zoomScaleNormal="100" workbookViewId="0">
      <pane ySplit="4" topLeftCell="A5" activePane="bottomLeft" state="frozen"/>
      <selection pane="bottomLeft"/>
    </sheetView>
  </sheetViews>
  <sheetFormatPr defaultColWidth="8.7109375" defaultRowHeight="15" x14ac:dyDescent="0.25"/>
  <cols>
    <col min="1" max="1" width="24" customWidth="1"/>
    <col min="2" max="2" width="34" customWidth="1"/>
    <col min="3" max="3" width="48" customWidth="1"/>
    <col min="4" max="4" width="44" customWidth="1"/>
    <col min="5" max="5" width="62" customWidth="1"/>
  </cols>
  <sheetData>
    <row r="1" spans="1:5" ht="18" x14ac:dyDescent="0.25">
      <c r="A1" s="23" t="s">
        <v>638</v>
      </c>
    </row>
    <row r="2" spans="1:5" x14ac:dyDescent="0.25">
      <c r="A2" s="1" t="s">
        <v>639</v>
      </c>
      <c r="B2" s="1"/>
      <c r="C2" s="1"/>
      <c r="D2" s="1"/>
      <c r="E2" s="1"/>
    </row>
    <row r="4" spans="1:5" ht="30" customHeight="1" x14ac:dyDescent="0.25">
      <c r="A4" s="8" t="s">
        <v>640</v>
      </c>
      <c r="B4" s="8" t="s">
        <v>641</v>
      </c>
      <c r="C4" s="8" t="s">
        <v>642</v>
      </c>
      <c r="D4" s="8" t="s">
        <v>643</v>
      </c>
      <c r="E4" s="8" t="s">
        <v>73</v>
      </c>
    </row>
    <row r="5" spans="1:5" ht="45.75" customHeight="1" x14ac:dyDescent="0.25">
      <c r="A5" s="27" t="s">
        <v>32</v>
      </c>
      <c r="B5" s="27" t="s">
        <v>644</v>
      </c>
      <c r="C5" s="27" t="s">
        <v>645</v>
      </c>
      <c r="D5" s="11" t="s">
        <v>646</v>
      </c>
      <c r="E5" s="11" t="s">
        <v>647</v>
      </c>
    </row>
    <row r="6" spans="1:5" ht="45.75" customHeight="1" x14ac:dyDescent="0.25">
      <c r="A6" s="27" t="s">
        <v>36</v>
      </c>
      <c r="B6" s="27" t="s">
        <v>648</v>
      </c>
      <c r="C6" s="27" t="s">
        <v>649</v>
      </c>
      <c r="D6" s="11" t="s">
        <v>650</v>
      </c>
      <c r="E6" s="11" t="s">
        <v>651</v>
      </c>
    </row>
    <row r="7" spans="1:5" ht="45.75" customHeight="1" x14ac:dyDescent="0.25">
      <c r="A7" s="27" t="s">
        <v>36</v>
      </c>
      <c r="B7" s="27" t="s">
        <v>652</v>
      </c>
      <c r="C7" s="27" t="s">
        <v>653</v>
      </c>
      <c r="D7" s="11" t="s">
        <v>654</v>
      </c>
      <c r="E7" s="11" t="s">
        <v>655</v>
      </c>
    </row>
    <row r="8" spans="1:5" ht="45.75" customHeight="1" x14ac:dyDescent="0.25">
      <c r="A8" s="27" t="s">
        <v>36</v>
      </c>
      <c r="B8" s="27" t="s">
        <v>656</v>
      </c>
      <c r="C8" s="27" t="s">
        <v>657</v>
      </c>
      <c r="D8" s="11" t="s">
        <v>658</v>
      </c>
      <c r="E8" s="11" t="s">
        <v>659</v>
      </c>
    </row>
    <row r="9" spans="1:5" ht="45.75" customHeight="1" x14ac:dyDescent="0.25">
      <c r="A9" s="27" t="s">
        <v>39</v>
      </c>
      <c r="B9" s="27" t="s">
        <v>660</v>
      </c>
      <c r="C9" s="27" t="s">
        <v>661</v>
      </c>
      <c r="D9" s="11" t="s">
        <v>662</v>
      </c>
      <c r="E9" s="11" t="s">
        <v>663</v>
      </c>
    </row>
    <row r="10" spans="1:5" ht="45.75" customHeight="1" x14ac:dyDescent="0.25">
      <c r="A10" s="27" t="s">
        <v>42</v>
      </c>
      <c r="B10" s="27" t="s">
        <v>664</v>
      </c>
      <c r="C10" s="27" t="s">
        <v>665</v>
      </c>
      <c r="D10" s="11" t="s">
        <v>666</v>
      </c>
      <c r="E10" s="11" t="s">
        <v>667</v>
      </c>
    </row>
    <row r="11" spans="1:5" ht="45.75" customHeight="1" x14ac:dyDescent="0.25">
      <c r="A11" s="27" t="s">
        <v>45</v>
      </c>
      <c r="B11" s="27" t="s">
        <v>668</v>
      </c>
      <c r="C11" s="27" t="s">
        <v>669</v>
      </c>
      <c r="D11" s="11" t="s">
        <v>670</v>
      </c>
      <c r="E11" s="11" t="s">
        <v>671</v>
      </c>
    </row>
    <row r="12" spans="1:5" ht="45.75" customHeight="1" x14ac:dyDescent="0.25">
      <c r="A12" s="27" t="s">
        <v>24</v>
      </c>
      <c r="B12" s="27" t="s">
        <v>672</v>
      </c>
      <c r="C12" s="27" t="s">
        <v>673</v>
      </c>
      <c r="D12" s="11" t="s">
        <v>674</v>
      </c>
      <c r="E12" s="11" t="s">
        <v>675</v>
      </c>
    </row>
    <row r="13" spans="1:5" ht="45.75" customHeight="1" x14ac:dyDescent="0.25">
      <c r="A13" s="27" t="s">
        <v>676</v>
      </c>
      <c r="B13" s="27" t="s">
        <v>677</v>
      </c>
      <c r="C13" s="27" t="s">
        <v>678</v>
      </c>
      <c r="D13" s="11" t="s">
        <v>679</v>
      </c>
      <c r="E13" s="11" t="s">
        <v>680</v>
      </c>
    </row>
  </sheetData>
  <mergeCells count="1">
    <mergeCell ref="A2:E2"/>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12"/>
  <sheetViews>
    <sheetView showGridLines="0" zoomScaleNormal="100" workbookViewId="0">
      <pane ySplit="4" topLeftCell="A5" activePane="bottomLeft" state="frozen"/>
      <selection pane="bottomLeft"/>
    </sheetView>
  </sheetViews>
  <sheetFormatPr defaultColWidth="8.7109375" defaultRowHeight="15" x14ac:dyDescent="0.25"/>
  <cols>
    <col min="1" max="1" width="30" customWidth="1"/>
    <col min="2" max="2" width="10" customWidth="1"/>
    <col min="3" max="3" width="62" customWidth="1"/>
    <col min="4" max="4" width="74" customWidth="1"/>
  </cols>
  <sheetData>
    <row r="1" spans="1:4" ht="18" x14ac:dyDescent="0.25">
      <c r="A1" s="38" t="s">
        <v>681</v>
      </c>
    </row>
    <row r="2" spans="1:4" x14ac:dyDescent="0.25">
      <c r="A2" s="1" t="s">
        <v>682</v>
      </c>
      <c r="B2" s="1"/>
      <c r="C2" s="1"/>
      <c r="D2" s="1"/>
    </row>
    <row r="4" spans="1:4" ht="30" customHeight="1" x14ac:dyDescent="0.25">
      <c r="A4" s="8" t="s">
        <v>683</v>
      </c>
      <c r="B4" s="8" t="s">
        <v>684</v>
      </c>
      <c r="C4" s="8" t="s">
        <v>685</v>
      </c>
      <c r="D4" s="8" t="s">
        <v>686</v>
      </c>
    </row>
    <row r="5" spans="1:4" ht="51.75" customHeight="1" x14ac:dyDescent="0.25">
      <c r="A5" s="11" t="s">
        <v>687</v>
      </c>
      <c r="B5" s="9" t="s">
        <v>688</v>
      </c>
      <c r="C5" s="11" t="s">
        <v>689</v>
      </c>
      <c r="D5" s="11" t="s">
        <v>690</v>
      </c>
    </row>
    <row r="6" spans="1:4" ht="51.75" customHeight="1" x14ac:dyDescent="0.25">
      <c r="A6" s="11" t="s">
        <v>691</v>
      </c>
      <c r="B6" s="9" t="s">
        <v>688</v>
      </c>
      <c r="C6" s="11" t="s">
        <v>692</v>
      </c>
      <c r="D6" s="11" t="s">
        <v>693</v>
      </c>
    </row>
    <row r="7" spans="1:4" ht="51.75" customHeight="1" x14ac:dyDescent="0.25">
      <c r="A7" s="11" t="s">
        <v>694</v>
      </c>
      <c r="B7" s="9" t="s">
        <v>688</v>
      </c>
      <c r="C7" s="11" t="s">
        <v>695</v>
      </c>
      <c r="D7" s="11" t="s">
        <v>696</v>
      </c>
    </row>
    <row r="8" spans="1:4" ht="51.75" customHeight="1" x14ac:dyDescent="0.25">
      <c r="A8" s="11" t="s">
        <v>697</v>
      </c>
      <c r="B8" s="9" t="s">
        <v>688</v>
      </c>
      <c r="C8" s="11" t="s">
        <v>698</v>
      </c>
      <c r="D8" s="11" t="s">
        <v>699</v>
      </c>
    </row>
    <row r="9" spans="1:4" ht="51.75" customHeight="1" x14ac:dyDescent="0.25">
      <c r="A9" s="11" t="s">
        <v>700</v>
      </c>
      <c r="B9" s="9" t="s">
        <v>688</v>
      </c>
      <c r="C9" s="11" t="s">
        <v>701</v>
      </c>
      <c r="D9" s="11" t="s">
        <v>702</v>
      </c>
    </row>
    <row r="10" spans="1:4" ht="51.75" customHeight="1" x14ac:dyDescent="0.25">
      <c r="A10" s="11" t="s">
        <v>703</v>
      </c>
      <c r="B10" s="9" t="s">
        <v>704</v>
      </c>
      <c r="C10" s="11" t="s">
        <v>705</v>
      </c>
      <c r="D10" s="11" t="s">
        <v>706</v>
      </c>
    </row>
    <row r="11" spans="1:4" ht="51.75" customHeight="1" x14ac:dyDescent="0.25">
      <c r="A11" s="11" t="s">
        <v>707</v>
      </c>
      <c r="B11" s="9" t="s">
        <v>688</v>
      </c>
      <c r="C11" s="11" t="s">
        <v>708</v>
      </c>
      <c r="D11" s="11" t="s">
        <v>709</v>
      </c>
    </row>
    <row r="12" spans="1:4" ht="51.75" customHeight="1" x14ac:dyDescent="0.25">
      <c r="A12" s="11" t="s">
        <v>710</v>
      </c>
      <c r="B12" s="9" t="s">
        <v>688</v>
      </c>
      <c r="C12" s="11" t="s">
        <v>711</v>
      </c>
      <c r="D12" s="11" t="s">
        <v>712</v>
      </c>
    </row>
  </sheetData>
  <mergeCells count="1">
    <mergeCell ref="A2:D2"/>
  </mergeCell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7"/>
  <sheetViews>
    <sheetView showGridLines="0" zoomScaleNormal="100" workbookViewId="0">
      <pane ySplit="3" topLeftCell="A4" activePane="bottomLeft" state="frozen"/>
      <selection pane="bottomLeft"/>
    </sheetView>
  </sheetViews>
  <sheetFormatPr defaultColWidth="8.7109375" defaultRowHeight="15" x14ac:dyDescent="0.25"/>
  <cols>
    <col min="1" max="1" width="26" customWidth="1"/>
    <col min="2" max="2" width="28" customWidth="1"/>
    <col min="3" max="3" width="60" customWidth="1"/>
    <col min="4" max="4" width="80" customWidth="1"/>
  </cols>
  <sheetData>
    <row r="1" spans="1:4" ht="18" x14ac:dyDescent="0.25">
      <c r="A1" s="38" t="s">
        <v>713</v>
      </c>
    </row>
    <row r="3" spans="1:4" ht="30" customHeight="1" x14ac:dyDescent="0.25">
      <c r="A3" s="8" t="s">
        <v>714</v>
      </c>
      <c r="B3" s="8" t="s">
        <v>715</v>
      </c>
      <c r="C3" s="8" t="s">
        <v>716</v>
      </c>
      <c r="D3" s="8" t="s">
        <v>717</v>
      </c>
    </row>
    <row r="4" spans="1:4" ht="75.75" customHeight="1" x14ac:dyDescent="0.25">
      <c r="A4" s="11" t="s">
        <v>718</v>
      </c>
      <c r="B4" s="11" t="s">
        <v>719</v>
      </c>
      <c r="C4" s="11" t="s">
        <v>720</v>
      </c>
      <c r="D4" s="11" t="s">
        <v>721</v>
      </c>
    </row>
    <row r="5" spans="1:4" ht="75.75" customHeight="1" x14ac:dyDescent="0.25">
      <c r="A5" s="11" t="s">
        <v>722</v>
      </c>
      <c r="B5" s="11" t="s">
        <v>723</v>
      </c>
      <c r="C5" s="11" t="s">
        <v>724</v>
      </c>
      <c r="D5" s="11" t="s">
        <v>725</v>
      </c>
    </row>
    <row r="6" spans="1:4" ht="75.75" customHeight="1" x14ac:dyDescent="0.25">
      <c r="A6" s="11" t="s">
        <v>726</v>
      </c>
      <c r="B6" s="11" t="s">
        <v>727</v>
      </c>
      <c r="C6" s="11" t="s">
        <v>728</v>
      </c>
      <c r="D6" s="11" t="s">
        <v>729</v>
      </c>
    </row>
    <row r="7" spans="1:4" ht="75.75" customHeight="1" x14ac:dyDescent="0.25">
      <c r="A7" s="11" t="s">
        <v>730</v>
      </c>
      <c r="B7" s="11" t="s">
        <v>731</v>
      </c>
      <c r="C7" s="11" t="s">
        <v>732</v>
      </c>
      <c r="D7" s="11" t="s">
        <v>733</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Tổng quan</vt:lpstr>
      <vt:lpstr>ShareDataPartner</vt:lpstr>
      <vt:lpstr>ShareDataSubscription</vt:lpstr>
      <vt:lpstr>ShareDataSession</vt:lpstr>
      <vt:lpstr>ShareDataActivityLog</vt:lpstr>
      <vt:lpstr>ShareDataEventSource</vt:lpstr>
      <vt:lpstr>ShareDataPacket</vt:lpstr>
      <vt:lpstr>ShareDataPacketTable</vt:lpstr>
      <vt:lpstr>ShareDataCodeSet</vt:lpstr>
      <vt:lpstr>ShareDataMapping</vt:lpstr>
      <vt:lpstr>ShareDataAlertLog</vt:lpstr>
      <vt:lpstr>JSON - ScheduleJson</vt:lpstr>
      <vt:lpstr>JSON - FieldsJson</vt:lpstr>
      <vt:lpstr>JSON - ValuesJson</vt:lpstr>
      <vt:lpstr>JSON - ItemsJson</vt:lpstr>
      <vt:lpstr>Index &amp; ràng buộc</vt:lpstr>
      <vt:lpstr>Kiểm tra ở tầng code</vt:lpstr>
      <vt:lpstr>Việc cần chốt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hieungo van</cp:lastModifiedBy>
  <cp:revision>0</cp:revision>
  <dcterms:created xsi:type="dcterms:W3CDTF">2026-08-21T01:30:43Z</dcterms:created>
  <dcterms:modified xsi:type="dcterms:W3CDTF">2026-08-21T01:38:01Z</dcterms:modified>
  <dc:language>en-US</dc:language>
</cp:coreProperties>
</file>